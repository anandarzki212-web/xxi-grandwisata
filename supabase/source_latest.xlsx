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ype\OneDrive\Documents\XXI\"/>
    </mc:Choice>
  </mc:AlternateContent>
  <xr:revisionPtr revIDLastSave="0" documentId="13_ncr:1_{B76D661F-78C5-49FB-918A-F0AB15F33CB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ock gudang utama dan transit" sheetId="1" r:id="rId1"/>
    <sheet name="format usage" sheetId="4" r:id="rId2"/>
    <sheet name="format orderan mingguan" sheetId="7" r:id="rId3"/>
    <sheet name="Sheet1" sheetId="8" r:id="rId4"/>
  </sheets>
  <definedNames>
    <definedName name="_xlnm.Print_Area" localSheetId="2">'format orderan mingguan'!$L$1:$R$72</definedName>
    <definedName name="_xlnm.Print_Area" localSheetId="1">'format usage'!$A$1:$H$30</definedName>
    <definedName name="_xlnm.Print_Area" localSheetId="3">Sheet1!$A$1:$F$31</definedName>
    <definedName name="_xlnm.Print_Area" localSheetId="0">'stock gudang utama dan transit'!$AP$193:$AW$219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5" i="1" l="1"/>
  <c r="N275" i="1"/>
  <c r="M275" i="1"/>
  <c r="P245" i="1"/>
  <c r="N245" i="1"/>
  <c r="M245" i="1"/>
  <c r="P244" i="1"/>
  <c r="N244" i="1"/>
  <c r="M244" i="1"/>
  <c r="P237" i="1"/>
  <c r="N237" i="1"/>
  <c r="M237" i="1"/>
  <c r="P236" i="1"/>
  <c r="N236" i="1"/>
  <c r="M236" i="1"/>
  <c r="DI25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AY126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AY12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AY147" i="1"/>
  <c r="AY146" i="1"/>
  <c r="AY168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AY149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AZ166" i="1"/>
  <c r="BA166" i="1"/>
  <c r="BB166" i="1"/>
  <c r="BC166" i="1"/>
  <c r="BD166" i="1"/>
  <c r="BE166" i="1"/>
  <c r="AZ167" i="1"/>
  <c r="BA167" i="1"/>
  <c r="BB167" i="1"/>
  <c r="BC167" i="1"/>
  <c r="BD167" i="1"/>
  <c r="BE167" i="1"/>
  <c r="AY167" i="1"/>
  <c r="AY166" i="1"/>
  <c r="AO167" i="1"/>
  <c r="AP167" i="1" s="1"/>
  <c r="DQ116" i="1"/>
  <c r="DR116" i="1" s="1"/>
  <c r="DO116" i="1"/>
  <c r="DP116" i="1" s="1"/>
  <c r="DM116" i="1"/>
  <c r="DN116" i="1" s="1"/>
  <c r="DK116" i="1"/>
  <c r="DS116" i="1" s="1"/>
  <c r="DT116" i="1" s="1"/>
  <c r="DQ178" i="1"/>
  <c r="DR178" i="1" s="1"/>
  <c r="DO178" i="1"/>
  <c r="DP178" i="1" s="1"/>
  <c r="DM178" i="1"/>
  <c r="G276" i="1" s="1"/>
  <c r="DK178" i="1"/>
  <c r="F276" i="1" s="1"/>
  <c r="J251" i="1"/>
  <c r="J252" i="1"/>
  <c r="J253" i="1"/>
  <c r="J257" i="1"/>
  <c r="J258" i="1"/>
  <c r="J259" i="1"/>
  <c r="J260" i="1"/>
  <c r="J263" i="1"/>
  <c r="J265" i="1"/>
  <c r="J266" i="1"/>
  <c r="J269" i="1"/>
  <c r="J270" i="1"/>
  <c r="J250" i="1"/>
  <c r="J219" i="1"/>
  <c r="J228" i="1"/>
  <c r="J229" i="1"/>
  <c r="J213" i="1"/>
  <c r="J201" i="1"/>
  <c r="J204" i="1"/>
  <c r="AW208" i="1"/>
  <c r="AW216" i="1"/>
  <c r="AW217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AY164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AY123" i="1"/>
  <c r="AO8" i="1"/>
  <c r="AP8" i="1" s="1"/>
  <c r="AO174" i="1"/>
  <c r="AP174" i="1" s="1"/>
  <c r="AO138" i="1"/>
  <c r="AP138" i="1" s="1"/>
  <c r="AO137" i="1"/>
  <c r="AP137" i="1" s="1"/>
  <c r="AO123" i="1"/>
  <c r="AP123" i="1" s="1"/>
  <c r="AO122" i="1"/>
  <c r="AP122" i="1" s="1"/>
  <c r="AO120" i="1"/>
  <c r="AP120" i="1" s="1"/>
  <c r="AO68" i="1"/>
  <c r="AP68" i="1" s="1"/>
  <c r="AO56" i="1"/>
  <c r="AP56" i="1" s="1"/>
  <c r="AO55" i="1"/>
  <c r="AP55" i="1" s="1"/>
  <c r="AO49" i="1"/>
  <c r="AP49" i="1" s="1"/>
  <c r="AO47" i="1"/>
  <c r="AP47" i="1" s="1"/>
  <c r="AO45" i="1"/>
  <c r="AP45" i="1" s="1"/>
  <c r="AO44" i="1"/>
  <c r="AP44" i="1" s="1"/>
  <c r="AO35" i="1"/>
  <c r="AP35" i="1" s="1"/>
  <c r="AO33" i="1"/>
  <c r="AO31" i="1"/>
  <c r="AO32" i="1"/>
  <c r="AO29" i="1"/>
  <c r="AP29" i="1" s="1"/>
  <c r="AO15" i="1"/>
  <c r="AP15" i="1" s="1"/>
  <c r="AO12" i="1"/>
  <c r="AP12" i="1" s="1"/>
  <c r="AO7" i="1"/>
  <c r="AP7" i="1" s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AZ142" i="1"/>
  <c r="BA142" i="1"/>
  <c r="AY142" i="1"/>
  <c r="AY143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BA45" i="1"/>
  <c r="BB45" i="1"/>
  <c r="BC45" i="1"/>
  <c r="BD45" i="1"/>
  <c r="BE45" i="1"/>
  <c r="BF45" i="1"/>
  <c r="BG45" i="1"/>
  <c r="AZ45" i="1"/>
  <c r="BT120" i="1"/>
  <c r="BU120" i="1"/>
  <c r="BV120" i="1"/>
  <c r="BW120" i="1"/>
  <c r="BX120" i="1"/>
  <c r="BY120" i="1"/>
  <c r="BZ120" i="1"/>
  <c r="CA120" i="1"/>
  <c r="CB120" i="1"/>
  <c r="CC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AY120" i="1"/>
  <c r="D261" i="1"/>
  <c r="DQ88" i="1"/>
  <c r="I200" i="1" s="1"/>
  <c r="DO88" i="1"/>
  <c r="DM88" i="1"/>
  <c r="DN88" i="1" s="1"/>
  <c r="DK88" i="1"/>
  <c r="DL88" i="1" s="1"/>
  <c r="DQ92" i="1"/>
  <c r="I198" i="1" s="1"/>
  <c r="DO92" i="1"/>
  <c r="DM92" i="1"/>
  <c r="DN92" i="1" s="1"/>
  <c r="DK92" i="1"/>
  <c r="DL92" i="1" s="1"/>
  <c r="DQ91" i="1"/>
  <c r="DR91" i="1" s="1"/>
  <c r="DO91" i="1"/>
  <c r="DM91" i="1"/>
  <c r="DN91" i="1" s="1"/>
  <c r="DK91" i="1"/>
  <c r="DL91" i="1" s="1"/>
  <c r="DQ180" i="1"/>
  <c r="DR180" i="1" s="1"/>
  <c r="DO180" i="1"/>
  <c r="DM180" i="1"/>
  <c r="DN180" i="1" s="1"/>
  <c r="DK180" i="1"/>
  <c r="DL180" i="1" s="1"/>
  <c r="AO67" i="1"/>
  <c r="AP67" i="1" s="1"/>
  <c r="AO5" i="1"/>
  <c r="AP5" i="1" s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AY137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AY138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AY122" i="1"/>
  <c r="AO164" i="1"/>
  <c r="AP164" i="1" s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AY121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AY124" i="1"/>
  <c r="AY125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AY130" i="1"/>
  <c r="AY131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AY140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AY119" i="1"/>
  <c r="AY118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AY115" i="1"/>
  <c r="AY113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AY112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AY110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AY109" i="1"/>
  <c r="DI109" i="1" s="1"/>
  <c r="AY108" i="1"/>
  <c r="DI108" i="1" s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AY107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AY104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AY103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AY100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AY97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AY96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AY95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AY94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AY93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AY77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AY76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AY75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AY74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AY73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AY72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AY69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AY68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AY67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AY56" i="1"/>
  <c r="AY55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AY49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AY47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AY44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AY35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AY33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AY32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AY31" i="1"/>
  <c r="AY28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AY29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AY24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AY23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AY11" i="1"/>
  <c r="DI114" i="1"/>
  <c r="AS114" i="1" s="1"/>
  <c r="DI91" i="1"/>
  <c r="DI92" i="1"/>
  <c r="DI88" i="1"/>
  <c r="DI82" i="1"/>
  <c r="AS82" i="1" s="1"/>
  <c r="DI81" i="1"/>
  <c r="AS81" i="1" s="1"/>
  <c r="DI58" i="1"/>
  <c r="AS58" i="1" s="1"/>
  <c r="DI43" i="1"/>
  <c r="AS43" i="1" s="1"/>
  <c r="DI40" i="1"/>
  <c r="AS40" i="1" s="1"/>
  <c r="DI19" i="1"/>
  <c r="AS19" i="1" s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AY7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DI14" i="1" s="1"/>
  <c r="AS14" i="1" s="1"/>
  <c r="BX12" i="1"/>
  <c r="BY12" i="1"/>
  <c r="BZ12" i="1"/>
  <c r="CA12" i="1"/>
  <c r="CB12" i="1"/>
  <c r="CC12" i="1"/>
  <c r="AY12" i="1"/>
  <c r="AY15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X8" i="1"/>
  <c r="BY8" i="1"/>
  <c r="BZ8" i="1"/>
  <c r="CA8" i="1"/>
  <c r="CB8" i="1"/>
  <c r="CC8" i="1"/>
  <c r="BQ8" i="1"/>
  <c r="BR8" i="1"/>
  <c r="BS8" i="1"/>
  <c r="BT8" i="1"/>
  <c r="BU8" i="1"/>
  <c r="BV8" i="1"/>
  <c r="BW8" i="1"/>
  <c r="DQ191" i="1"/>
  <c r="DR191" i="1" s="1"/>
  <c r="DO191" i="1"/>
  <c r="DP191" i="1" s="1"/>
  <c r="DM191" i="1"/>
  <c r="DN191" i="1" s="1"/>
  <c r="DK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O191" i="1"/>
  <c r="AP191" i="1" s="1"/>
  <c r="DQ190" i="1"/>
  <c r="DO190" i="1"/>
  <c r="DM190" i="1"/>
  <c r="DK190" i="1"/>
  <c r="F272" i="1" s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O190" i="1"/>
  <c r="AP190" i="1" s="1"/>
  <c r="DQ189" i="1"/>
  <c r="DO189" i="1"/>
  <c r="DM189" i="1"/>
  <c r="DK189" i="1"/>
  <c r="F271" i="1" s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O189" i="1"/>
  <c r="AP189" i="1" s="1"/>
  <c r="DQ188" i="1"/>
  <c r="DR188" i="1" s="1"/>
  <c r="DO188" i="1"/>
  <c r="DP188" i="1" s="1"/>
  <c r="DM188" i="1"/>
  <c r="DN188" i="1" s="1"/>
  <c r="DK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O188" i="1"/>
  <c r="AP188" i="1" s="1"/>
  <c r="DQ187" i="1"/>
  <c r="DO187" i="1"/>
  <c r="DP187" i="1" s="1"/>
  <c r="DM187" i="1"/>
  <c r="DN187" i="1" s="1"/>
  <c r="DK187" i="1"/>
  <c r="DL187" i="1" s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O187" i="1"/>
  <c r="AP187" i="1" s="1"/>
  <c r="DQ186" i="1"/>
  <c r="DR186" i="1" s="1"/>
  <c r="DO186" i="1"/>
  <c r="DP186" i="1" s="1"/>
  <c r="DM186" i="1"/>
  <c r="DN186" i="1" s="1"/>
  <c r="DK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O186" i="1"/>
  <c r="AP186" i="1" s="1"/>
  <c r="DQ185" i="1"/>
  <c r="DR185" i="1" s="1"/>
  <c r="AV202" i="1" s="1"/>
  <c r="DO185" i="1"/>
  <c r="DP185" i="1" s="1"/>
  <c r="AU202" i="1" s="1"/>
  <c r="DM185" i="1"/>
  <c r="DN185" i="1" s="1"/>
  <c r="AT202" i="1" s="1"/>
  <c r="DK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O185" i="1"/>
  <c r="AP185" i="1" s="1"/>
  <c r="DQ184" i="1"/>
  <c r="DR184" i="1" s="1"/>
  <c r="AV203" i="1" s="1"/>
  <c r="DO184" i="1"/>
  <c r="DP184" i="1" s="1"/>
  <c r="AU203" i="1" s="1"/>
  <c r="DM184" i="1"/>
  <c r="DN184" i="1" s="1"/>
  <c r="AT203" i="1" s="1"/>
  <c r="DK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O184" i="1"/>
  <c r="AP184" i="1" s="1"/>
  <c r="DQ183" i="1"/>
  <c r="DR183" i="1" s="1"/>
  <c r="DO183" i="1"/>
  <c r="DP183" i="1" s="1"/>
  <c r="DM183" i="1"/>
  <c r="DN183" i="1" s="1"/>
  <c r="DK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O183" i="1"/>
  <c r="AP183" i="1" s="1"/>
  <c r="DQ182" i="1"/>
  <c r="DR182" i="1" s="1"/>
  <c r="DO182" i="1"/>
  <c r="DP182" i="1" s="1"/>
  <c r="DM182" i="1"/>
  <c r="DN182" i="1" s="1"/>
  <c r="DK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O182" i="1"/>
  <c r="AP182" i="1" s="1"/>
  <c r="DQ181" i="1"/>
  <c r="DR181" i="1" s="1"/>
  <c r="DO181" i="1"/>
  <c r="DP181" i="1" s="1"/>
  <c r="DM181" i="1"/>
  <c r="DN181" i="1" s="1"/>
  <c r="DK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O181" i="1"/>
  <c r="AP181" i="1" s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O180" i="1"/>
  <c r="DQ179" i="1"/>
  <c r="DR179" i="1" s="1"/>
  <c r="AV204" i="1" s="1"/>
  <c r="DO179" i="1"/>
  <c r="DP179" i="1" s="1"/>
  <c r="AU204" i="1" s="1"/>
  <c r="DM179" i="1"/>
  <c r="DN179" i="1" s="1"/>
  <c r="AT204" i="1" s="1"/>
  <c r="DK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O179" i="1"/>
  <c r="AP179" i="1" s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O178" i="1"/>
  <c r="DQ177" i="1"/>
  <c r="DR177" i="1" s="1"/>
  <c r="AV219" i="1" s="1"/>
  <c r="DO177" i="1"/>
  <c r="DP177" i="1" s="1"/>
  <c r="AU219" i="1" s="1"/>
  <c r="DM177" i="1"/>
  <c r="DN177" i="1" s="1"/>
  <c r="AT219" i="1" s="1"/>
  <c r="DK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O177" i="1"/>
  <c r="AP177" i="1" s="1"/>
  <c r="DQ176" i="1"/>
  <c r="DR176" i="1" s="1"/>
  <c r="DO176" i="1"/>
  <c r="DP176" i="1" s="1"/>
  <c r="DM176" i="1"/>
  <c r="DN176" i="1" s="1"/>
  <c r="DK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O176" i="1"/>
  <c r="AP176" i="1" s="1"/>
  <c r="DQ175" i="1"/>
  <c r="DR175" i="1" s="1"/>
  <c r="DO175" i="1"/>
  <c r="DP175" i="1" s="1"/>
  <c r="DM175" i="1"/>
  <c r="DN175" i="1" s="1"/>
  <c r="DK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O175" i="1"/>
  <c r="AP175" i="1" s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DQ173" i="1"/>
  <c r="DR173" i="1" s="1"/>
  <c r="DO173" i="1"/>
  <c r="DP173" i="1" s="1"/>
  <c r="DM173" i="1"/>
  <c r="DN173" i="1" s="1"/>
  <c r="DK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O173" i="1"/>
  <c r="AP173" i="1" s="1"/>
  <c r="DQ172" i="1"/>
  <c r="DR172" i="1" s="1"/>
  <c r="DO172" i="1"/>
  <c r="DP172" i="1" s="1"/>
  <c r="DM172" i="1"/>
  <c r="DN172" i="1" s="1"/>
  <c r="DK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O172" i="1"/>
  <c r="AP172" i="1" s="1"/>
  <c r="DQ171" i="1"/>
  <c r="DR171" i="1" s="1"/>
  <c r="DO171" i="1"/>
  <c r="DP171" i="1" s="1"/>
  <c r="DM171" i="1"/>
  <c r="DN171" i="1" s="1"/>
  <c r="DK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O171" i="1"/>
  <c r="AP171" i="1" s="1"/>
  <c r="DQ170" i="1"/>
  <c r="DR170" i="1" s="1"/>
  <c r="DO170" i="1"/>
  <c r="DP170" i="1" s="1"/>
  <c r="DM170" i="1"/>
  <c r="DN170" i="1" s="1"/>
  <c r="DK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O170" i="1"/>
  <c r="DQ169" i="1"/>
  <c r="DR169" i="1" s="1"/>
  <c r="DO169" i="1"/>
  <c r="DP169" i="1" s="1"/>
  <c r="DM169" i="1"/>
  <c r="DN169" i="1" s="1"/>
  <c r="DK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O169" i="1"/>
  <c r="DQ168" i="1"/>
  <c r="DR168" i="1" s="1"/>
  <c r="DO168" i="1"/>
  <c r="DP168" i="1" s="1"/>
  <c r="DM168" i="1"/>
  <c r="DN168" i="1" s="1"/>
  <c r="DK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O168" i="1"/>
  <c r="AP168" i="1" s="1"/>
  <c r="DQ167" i="1"/>
  <c r="DR167" i="1" s="1"/>
  <c r="DO167" i="1"/>
  <c r="DP167" i="1" s="1"/>
  <c r="DM167" i="1"/>
  <c r="DN167" i="1" s="1"/>
  <c r="DK167" i="1"/>
  <c r="DQ166" i="1"/>
  <c r="DR166" i="1" s="1"/>
  <c r="DO166" i="1"/>
  <c r="DP166" i="1" s="1"/>
  <c r="DM166" i="1"/>
  <c r="DN166" i="1" s="1"/>
  <c r="DK166" i="1"/>
  <c r="AO166" i="1"/>
  <c r="AP166" i="1" s="1"/>
  <c r="DQ165" i="1"/>
  <c r="DR165" i="1" s="1"/>
  <c r="DO165" i="1"/>
  <c r="DP165" i="1" s="1"/>
  <c r="DM165" i="1"/>
  <c r="DN165" i="1" s="1"/>
  <c r="DK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O165" i="1"/>
  <c r="AP165" i="1" s="1"/>
  <c r="DQ164" i="1"/>
  <c r="DR164" i="1" s="1"/>
  <c r="DO164" i="1"/>
  <c r="DP164" i="1" s="1"/>
  <c r="DM164" i="1"/>
  <c r="DN164" i="1" s="1"/>
  <c r="DK164" i="1"/>
  <c r="DQ163" i="1"/>
  <c r="DR163" i="1" s="1"/>
  <c r="DO163" i="1"/>
  <c r="DP163" i="1" s="1"/>
  <c r="DM163" i="1"/>
  <c r="DN163" i="1" s="1"/>
  <c r="DK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O163" i="1"/>
  <c r="AP163" i="1" s="1"/>
  <c r="DQ162" i="1"/>
  <c r="DR162" i="1" s="1"/>
  <c r="DO162" i="1"/>
  <c r="DP162" i="1" s="1"/>
  <c r="DM162" i="1"/>
  <c r="DN162" i="1" s="1"/>
  <c r="DK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O162" i="1"/>
  <c r="AP162" i="1" s="1"/>
  <c r="DQ161" i="1"/>
  <c r="DR161" i="1" s="1"/>
  <c r="DO161" i="1"/>
  <c r="DP161" i="1" s="1"/>
  <c r="DM161" i="1"/>
  <c r="DN161" i="1" s="1"/>
  <c r="DK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O161" i="1"/>
  <c r="AP161" i="1" s="1"/>
  <c r="DQ160" i="1"/>
  <c r="DR160" i="1" s="1"/>
  <c r="DO160" i="1"/>
  <c r="DP160" i="1" s="1"/>
  <c r="DM160" i="1"/>
  <c r="DN160" i="1" s="1"/>
  <c r="DK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O160" i="1"/>
  <c r="AP160" i="1" s="1"/>
  <c r="DQ159" i="1"/>
  <c r="DR159" i="1" s="1"/>
  <c r="DO159" i="1"/>
  <c r="DP159" i="1" s="1"/>
  <c r="DM159" i="1"/>
  <c r="DN159" i="1" s="1"/>
  <c r="DK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O159" i="1"/>
  <c r="AP159" i="1" s="1"/>
  <c r="DQ158" i="1"/>
  <c r="DR158" i="1" s="1"/>
  <c r="DO158" i="1"/>
  <c r="DP158" i="1" s="1"/>
  <c r="DM158" i="1"/>
  <c r="DN158" i="1" s="1"/>
  <c r="DK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O158" i="1"/>
  <c r="AP158" i="1" s="1"/>
  <c r="DQ157" i="1"/>
  <c r="DR157" i="1" s="1"/>
  <c r="DO157" i="1"/>
  <c r="DP157" i="1" s="1"/>
  <c r="DM157" i="1"/>
  <c r="DN157" i="1" s="1"/>
  <c r="DK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O157" i="1"/>
  <c r="AP157" i="1" s="1"/>
  <c r="DQ156" i="1"/>
  <c r="DR156" i="1" s="1"/>
  <c r="DO156" i="1"/>
  <c r="DP156" i="1" s="1"/>
  <c r="DM156" i="1"/>
  <c r="DN156" i="1" s="1"/>
  <c r="DK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O156" i="1"/>
  <c r="AP156" i="1" s="1"/>
  <c r="DQ155" i="1"/>
  <c r="DR155" i="1" s="1"/>
  <c r="DO155" i="1"/>
  <c r="DP155" i="1" s="1"/>
  <c r="DM155" i="1"/>
  <c r="DN155" i="1" s="1"/>
  <c r="DK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O155" i="1"/>
  <c r="AP155" i="1" s="1"/>
  <c r="DQ154" i="1"/>
  <c r="DR154" i="1" s="1"/>
  <c r="DO154" i="1"/>
  <c r="DP154" i="1" s="1"/>
  <c r="DM154" i="1"/>
  <c r="DN154" i="1" s="1"/>
  <c r="DK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O154" i="1"/>
  <c r="DQ153" i="1"/>
  <c r="DR153" i="1" s="1"/>
  <c r="DO153" i="1"/>
  <c r="DP153" i="1" s="1"/>
  <c r="DM153" i="1"/>
  <c r="DN153" i="1" s="1"/>
  <c r="DK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O153" i="1"/>
  <c r="DQ152" i="1"/>
  <c r="DR152" i="1" s="1"/>
  <c r="DO152" i="1"/>
  <c r="DP152" i="1" s="1"/>
  <c r="DM152" i="1"/>
  <c r="DN152" i="1" s="1"/>
  <c r="DK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O152" i="1"/>
  <c r="AP152" i="1" s="1"/>
  <c r="DQ151" i="1"/>
  <c r="DR151" i="1" s="1"/>
  <c r="DO151" i="1"/>
  <c r="DP151" i="1" s="1"/>
  <c r="DM151" i="1"/>
  <c r="DN151" i="1" s="1"/>
  <c r="DK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O151" i="1"/>
  <c r="DQ150" i="1"/>
  <c r="DR150" i="1" s="1"/>
  <c r="DO150" i="1"/>
  <c r="DP150" i="1" s="1"/>
  <c r="DM150" i="1"/>
  <c r="DN150" i="1" s="1"/>
  <c r="DK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O150" i="1"/>
  <c r="DQ149" i="1"/>
  <c r="DR149" i="1" s="1"/>
  <c r="DO149" i="1"/>
  <c r="DP149" i="1" s="1"/>
  <c r="DM149" i="1"/>
  <c r="DN149" i="1" s="1"/>
  <c r="DK149" i="1"/>
  <c r="AO149" i="1"/>
  <c r="AP149" i="1" s="1"/>
  <c r="DQ148" i="1"/>
  <c r="DR148" i="1" s="1"/>
  <c r="DO148" i="1"/>
  <c r="DP148" i="1" s="1"/>
  <c r="DM148" i="1"/>
  <c r="DN148" i="1" s="1"/>
  <c r="DK148" i="1"/>
  <c r="AO148" i="1"/>
  <c r="AP148" i="1" s="1"/>
  <c r="DQ147" i="1"/>
  <c r="DR147" i="1" s="1"/>
  <c r="DO147" i="1"/>
  <c r="DP147" i="1" s="1"/>
  <c r="DM147" i="1"/>
  <c r="DN147" i="1" s="1"/>
  <c r="DK147" i="1"/>
  <c r="AO147" i="1"/>
  <c r="AP147" i="1" s="1"/>
  <c r="DQ146" i="1"/>
  <c r="DR146" i="1" s="1"/>
  <c r="DO146" i="1"/>
  <c r="DP146" i="1" s="1"/>
  <c r="DM146" i="1"/>
  <c r="DN146" i="1" s="1"/>
  <c r="DK146" i="1"/>
  <c r="AO146" i="1"/>
  <c r="AP146" i="1" s="1"/>
  <c r="DQ145" i="1"/>
  <c r="DR145" i="1" s="1"/>
  <c r="DO145" i="1"/>
  <c r="DP145" i="1" s="1"/>
  <c r="DM145" i="1"/>
  <c r="DN145" i="1" s="1"/>
  <c r="DK145" i="1"/>
  <c r="AO145" i="1"/>
  <c r="AP145" i="1" s="1"/>
  <c r="DQ144" i="1"/>
  <c r="DR144" i="1" s="1"/>
  <c r="DO144" i="1"/>
  <c r="DP144" i="1" s="1"/>
  <c r="DM144" i="1"/>
  <c r="DN144" i="1" s="1"/>
  <c r="DK144" i="1"/>
  <c r="AO144" i="1"/>
  <c r="AP144" i="1" s="1"/>
  <c r="DQ143" i="1"/>
  <c r="DR143" i="1" s="1"/>
  <c r="DO143" i="1"/>
  <c r="DP143" i="1" s="1"/>
  <c r="DM143" i="1"/>
  <c r="DN143" i="1" s="1"/>
  <c r="DK143" i="1"/>
  <c r="AO143" i="1"/>
  <c r="AP143" i="1" s="1"/>
  <c r="DQ142" i="1"/>
  <c r="DR142" i="1" s="1"/>
  <c r="DO142" i="1"/>
  <c r="DP142" i="1" s="1"/>
  <c r="DM142" i="1"/>
  <c r="DN142" i="1" s="1"/>
  <c r="DK142" i="1"/>
  <c r="AO142" i="1"/>
  <c r="AP142" i="1" s="1"/>
  <c r="DQ141" i="1"/>
  <c r="DR141" i="1" s="1"/>
  <c r="DO141" i="1"/>
  <c r="DP141" i="1" s="1"/>
  <c r="DM141" i="1"/>
  <c r="DN141" i="1" s="1"/>
  <c r="DK141" i="1"/>
  <c r="AO141" i="1"/>
  <c r="AP141" i="1" s="1"/>
  <c r="DQ140" i="1"/>
  <c r="DR140" i="1" s="1"/>
  <c r="AV201" i="1" s="1"/>
  <c r="DO140" i="1"/>
  <c r="DP140" i="1" s="1"/>
  <c r="AU201" i="1" s="1"/>
  <c r="DM140" i="1"/>
  <c r="DN140" i="1" s="1"/>
  <c r="AT201" i="1" s="1"/>
  <c r="DK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O140" i="1"/>
  <c r="AP140" i="1" s="1"/>
  <c r="DQ139" i="1"/>
  <c r="DR139" i="1" s="1"/>
  <c r="AV218" i="1" s="1"/>
  <c r="DO139" i="1"/>
  <c r="DP139" i="1" s="1"/>
  <c r="AU218" i="1" s="1"/>
  <c r="DM139" i="1"/>
  <c r="DN139" i="1" s="1"/>
  <c r="AT218" i="1" s="1"/>
  <c r="DK139" i="1"/>
  <c r="AO139" i="1"/>
  <c r="AP139" i="1" s="1"/>
  <c r="DQ138" i="1"/>
  <c r="DR138" i="1" s="1"/>
  <c r="AV198" i="1" s="1"/>
  <c r="DO138" i="1"/>
  <c r="DP138" i="1" s="1"/>
  <c r="AU198" i="1" s="1"/>
  <c r="DM138" i="1"/>
  <c r="DN138" i="1" s="1"/>
  <c r="AT198" i="1" s="1"/>
  <c r="DK138" i="1"/>
  <c r="DQ137" i="1"/>
  <c r="DR137" i="1" s="1"/>
  <c r="AV199" i="1" s="1"/>
  <c r="DO137" i="1"/>
  <c r="DP137" i="1" s="1"/>
  <c r="AU199" i="1" s="1"/>
  <c r="DM137" i="1"/>
  <c r="DN137" i="1" s="1"/>
  <c r="AT199" i="1" s="1"/>
  <c r="DK137" i="1"/>
  <c r="DQ136" i="1"/>
  <c r="DR136" i="1" s="1"/>
  <c r="DO136" i="1"/>
  <c r="DP136" i="1" s="1"/>
  <c r="DM136" i="1"/>
  <c r="DN136" i="1" s="1"/>
  <c r="DK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O136" i="1"/>
  <c r="AP136" i="1" s="1"/>
  <c r="DQ135" i="1"/>
  <c r="DR135" i="1" s="1"/>
  <c r="AV215" i="1" s="1"/>
  <c r="DO135" i="1"/>
  <c r="DP135" i="1" s="1"/>
  <c r="AU215" i="1" s="1"/>
  <c r="DM135" i="1"/>
  <c r="DN135" i="1" s="1"/>
  <c r="AT215" i="1" s="1"/>
  <c r="DK135" i="1"/>
  <c r="AO135" i="1"/>
  <c r="AP135" i="1" s="1"/>
  <c r="DQ134" i="1"/>
  <c r="DR134" i="1" s="1"/>
  <c r="AV214" i="1" s="1"/>
  <c r="DO134" i="1"/>
  <c r="DP134" i="1" s="1"/>
  <c r="AU214" i="1" s="1"/>
  <c r="DM134" i="1"/>
  <c r="DN134" i="1" s="1"/>
  <c r="AT214" i="1" s="1"/>
  <c r="DK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O134" i="1"/>
  <c r="AP134" i="1" s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O133" i="1"/>
  <c r="AP133" i="1" s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O132" i="1"/>
  <c r="AP132" i="1" s="1"/>
  <c r="DQ131" i="1"/>
  <c r="DR131" i="1" s="1"/>
  <c r="AV211" i="1" s="1"/>
  <c r="DO131" i="1"/>
  <c r="DP131" i="1" s="1"/>
  <c r="AU211" i="1" s="1"/>
  <c r="DM131" i="1"/>
  <c r="DN131" i="1" s="1"/>
  <c r="AT211" i="1" s="1"/>
  <c r="DK131" i="1"/>
  <c r="AO131" i="1"/>
  <c r="AP131" i="1" s="1"/>
  <c r="DQ130" i="1"/>
  <c r="DR130" i="1" s="1"/>
  <c r="AV210" i="1" s="1"/>
  <c r="DO130" i="1"/>
  <c r="DP130" i="1" s="1"/>
  <c r="AU210" i="1" s="1"/>
  <c r="DM130" i="1"/>
  <c r="DN130" i="1" s="1"/>
  <c r="AT210" i="1" s="1"/>
  <c r="DK130" i="1"/>
  <c r="AO130" i="1"/>
  <c r="AP130" i="1" s="1"/>
  <c r="DQ129" i="1"/>
  <c r="DO129" i="1"/>
  <c r="DM129" i="1"/>
  <c r="DK129" i="1"/>
  <c r="F268" i="1" s="1"/>
  <c r="AO129" i="1"/>
  <c r="AP129" i="1" s="1"/>
  <c r="DQ128" i="1"/>
  <c r="DO128" i="1"/>
  <c r="DM128" i="1"/>
  <c r="DK128" i="1"/>
  <c r="F261" i="1" s="1"/>
  <c r="AO128" i="1"/>
  <c r="AP128" i="1" s="1"/>
  <c r="DQ127" i="1"/>
  <c r="DR127" i="1" s="1"/>
  <c r="AV209" i="1" s="1"/>
  <c r="DO127" i="1"/>
  <c r="DP127" i="1" s="1"/>
  <c r="AU209" i="1" s="1"/>
  <c r="DM127" i="1"/>
  <c r="DN127" i="1" s="1"/>
  <c r="AT209" i="1" s="1"/>
  <c r="DK127" i="1"/>
  <c r="AO127" i="1"/>
  <c r="AP127" i="1" s="1"/>
  <c r="DQ126" i="1"/>
  <c r="DR126" i="1" s="1"/>
  <c r="DO126" i="1"/>
  <c r="DP126" i="1" s="1"/>
  <c r="DM126" i="1"/>
  <c r="DN126" i="1" s="1"/>
  <c r="DK126" i="1"/>
  <c r="AO126" i="1"/>
  <c r="AP126" i="1" s="1"/>
  <c r="DQ125" i="1"/>
  <c r="DR125" i="1" s="1"/>
  <c r="AV200" i="1" s="1"/>
  <c r="DO125" i="1"/>
  <c r="DP125" i="1" s="1"/>
  <c r="AU200" i="1" s="1"/>
  <c r="DM125" i="1"/>
  <c r="DN125" i="1" s="1"/>
  <c r="AT200" i="1" s="1"/>
  <c r="DK125" i="1"/>
  <c r="AO125" i="1"/>
  <c r="AP125" i="1" s="1"/>
  <c r="DQ124" i="1"/>
  <c r="DR124" i="1" s="1"/>
  <c r="AV195" i="1" s="1"/>
  <c r="DO124" i="1"/>
  <c r="DP124" i="1" s="1"/>
  <c r="AU195" i="1" s="1"/>
  <c r="DM124" i="1"/>
  <c r="DN124" i="1" s="1"/>
  <c r="AT195" i="1" s="1"/>
  <c r="DK124" i="1"/>
  <c r="AO124" i="1"/>
  <c r="AP124" i="1" s="1"/>
  <c r="DQ123" i="1"/>
  <c r="DR123" i="1" s="1"/>
  <c r="AV196" i="1" s="1"/>
  <c r="DO123" i="1"/>
  <c r="DP123" i="1" s="1"/>
  <c r="AU196" i="1" s="1"/>
  <c r="DM123" i="1"/>
  <c r="DN123" i="1" s="1"/>
  <c r="AT196" i="1" s="1"/>
  <c r="DK123" i="1"/>
  <c r="DQ122" i="1"/>
  <c r="DR122" i="1" s="1"/>
  <c r="AV207" i="1" s="1"/>
  <c r="DO122" i="1"/>
  <c r="DP122" i="1" s="1"/>
  <c r="AU207" i="1" s="1"/>
  <c r="DM122" i="1"/>
  <c r="DN122" i="1" s="1"/>
  <c r="AT207" i="1" s="1"/>
  <c r="DK122" i="1"/>
  <c r="DQ121" i="1"/>
  <c r="DR121" i="1" s="1"/>
  <c r="DO121" i="1"/>
  <c r="DP121" i="1" s="1"/>
  <c r="DM121" i="1"/>
  <c r="DN121" i="1" s="1"/>
  <c r="DK121" i="1"/>
  <c r="F212" i="1" s="1"/>
  <c r="AO121" i="1"/>
  <c r="AP121" i="1" s="1"/>
  <c r="DQ120" i="1"/>
  <c r="DO120" i="1"/>
  <c r="DM120" i="1"/>
  <c r="DK120" i="1"/>
  <c r="F232" i="1" s="1"/>
  <c r="DQ119" i="1"/>
  <c r="DR119" i="1" s="1"/>
  <c r="I230" i="1" s="1"/>
  <c r="DO119" i="1"/>
  <c r="DP119" i="1" s="1"/>
  <c r="H230" i="1" s="1"/>
  <c r="DM119" i="1"/>
  <c r="DN119" i="1" s="1"/>
  <c r="G230" i="1" s="1"/>
  <c r="DK119" i="1"/>
  <c r="AO119" i="1"/>
  <c r="AP119" i="1" s="1"/>
  <c r="DQ118" i="1"/>
  <c r="DR118" i="1" s="1"/>
  <c r="I231" i="1" s="1"/>
  <c r="DO118" i="1"/>
  <c r="DP118" i="1" s="1"/>
  <c r="H231" i="1" s="1"/>
  <c r="DM118" i="1"/>
  <c r="DN118" i="1" s="1"/>
  <c r="G231" i="1" s="1"/>
  <c r="DK118" i="1"/>
  <c r="AO118" i="1"/>
  <c r="AP118" i="1" s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Q117" i="1"/>
  <c r="AO117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O116" i="1"/>
  <c r="DQ115" i="1"/>
  <c r="DR115" i="1" s="1"/>
  <c r="DO115" i="1"/>
  <c r="DP115" i="1" s="1"/>
  <c r="DM115" i="1"/>
  <c r="DN115" i="1" s="1"/>
  <c r="DK115" i="1"/>
  <c r="AO115" i="1"/>
  <c r="AP115" i="1" s="1"/>
  <c r="DQ113" i="1"/>
  <c r="DO113" i="1"/>
  <c r="DM113" i="1"/>
  <c r="DK113" i="1"/>
  <c r="F227" i="1" s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O113" i="1"/>
  <c r="AP113" i="1" s="1"/>
  <c r="DQ112" i="1"/>
  <c r="DO112" i="1"/>
  <c r="DM112" i="1"/>
  <c r="DK112" i="1"/>
  <c r="F226" i="1" s="1"/>
  <c r="AO112" i="1"/>
  <c r="AP112" i="1" s="1"/>
  <c r="DQ111" i="1"/>
  <c r="DR111" i="1" s="1"/>
  <c r="DO111" i="1"/>
  <c r="DP111" i="1" s="1"/>
  <c r="DM111" i="1"/>
  <c r="DN111" i="1" s="1"/>
  <c r="DK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Q111" i="1"/>
  <c r="AO111" i="1"/>
  <c r="DQ110" i="1"/>
  <c r="DR110" i="1" s="1"/>
  <c r="DO110" i="1"/>
  <c r="DP110" i="1" s="1"/>
  <c r="DM110" i="1"/>
  <c r="DN110" i="1" s="1"/>
  <c r="DK110" i="1"/>
  <c r="AO110" i="1"/>
  <c r="AP110" i="1" s="1"/>
  <c r="DQ109" i="1"/>
  <c r="DO109" i="1"/>
  <c r="DM109" i="1"/>
  <c r="DK109" i="1"/>
  <c r="F225" i="1" s="1"/>
  <c r="AO109" i="1"/>
  <c r="DQ108" i="1"/>
  <c r="DO108" i="1"/>
  <c r="DM108" i="1"/>
  <c r="DK108" i="1"/>
  <c r="F224" i="1" s="1"/>
  <c r="AO108" i="1"/>
  <c r="DQ107" i="1"/>
  <c r="DR107" i="1" s="1"/>
  <c r="DO107" i="1"/>
  <c r="DP107" i="1" s="1"/>
  <c r="DM107" i="1"/>
  <c r="DN107" i="1" s="1"/>
  <c r="DK107" i="1"/>
  <c r="AO107" i="1"/>
  <c r="AP107" i="1" s="1"/>
  <c r="DQ106" i="1"/>
  <c r="DO106" i="1"/>
  <c r="DM106" i="1"/>
  <c r="DK106" i="1"/>
  <c r="F196" i="1" s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O106" i="1"/>
  <c r="AP106" i="1" s="1"/>
  <c r="DQ105" i="1"/>
  <c r="DO105" i="1"/>
  <c r="DM105" i="1"/>
  <c r="DK105" i="1"/>
  <c r="F197" i="1" s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O105" i="1"/>
  <c r="AP105" i="1" s="1"/>
  <c r="DQ104" i="1"/>
  <c r="DO104" i="1"/>
  <c r="DM104" i="1"/>
  <c r="DK104" i="1"/>
  <c r="F245" i="1" s="1"/>
  <c r="AO104" i="1"/>
  <c r="AP104" i="1" s="1"/>
  <c r="DQ103" i="1"/>
  <c r="DO103" i="1"/>
  <c r="DM103" i="1"/>
  <c r="DK103" i="1"/>
  <c r="F195" i="1" s="1"/>
  <c r="AO103" i="1"/>
  <c r="AP103" i="1" s="1"/>
  <c r="DQ102" i="1"/>
  <c r="DR102" i="1" s="1"/>
  <c r="DO102" i="1"/>
  <c r="DP102" i="1" s="1"/>
  <c r="DM102" i="1"/>
  <c r="DN102" i="1" s="1"/>
  <c r="DK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O102" i="1"/>
  <c r="AP102" i="1" s="1"/>
  <c r="DQ101" i="1"/>
  <c r="DR101" i="1" s="1"/>
  <c r="DO101" i="1"/>
  <c r="DP101" i="1" s="1"/>
  <c r="DM101" i="1"/>
  <c r="DN101" i="1" s="1"/>
  <c r="DK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O101" i="1"/>
  <c r="AP101" i="1" s="1"/>
  <c r="DQ100" i="1"/>
  <c r="DO100" i="1"/>
  <c r="DM100" i="1"/>
  <c r="DK100" i="1"/>
  <c r="F203" i="1" s="1"/>
  <c r="AO100" i="1"/>
  <c r="AP100" i="1" s="1"/>
  <c r="DQ99" i="1"/>
  <c r="DO99" i="1"/>
  <c r="DM99" i="1"/>
  <c r="DK99" i="1"/>
  <c r="F202" i="1" s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O99" i="1"/>
  <c r="AP99" i="1" s="1"/>
  <c r="DQ98" i="1"/>
  <c r="DO98" i="1"/>
  <c r="DM98" i="1"/>
  <c r="DK98" i="1"/>
  <c r="F244" i="1" s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O98" i="1"/>
  <c r="AP98" i="1" s="1"/>
  <c r="DQ97" i="1"/>
  <c r="DO97" i="1"/>
  <c r="DM97" i="1"/>
  <c r="DK97" i="1"/>
  <c r="F242" i="1" s="1"/>
  <c r="AO97" i="1"/>
  <c r="AP97" i="1" s="1"/>
  <c r="DQ96" i="1"/>
  <c r="DO96" i="1"/>
  <c r="DM96" i="1"/>
  <c r="DK96" i="1"/>
  <c r="F243" i="1" s="1"/>
  <c r="AO96" i="1"/>
  <c r="AP96" i="1" s="1"/>
  <c r="DQ95" i="1"/>
  <c r="DO95" i="1"/>
  <c r="DM95" i="1"/>
  <c r="DK95" i="1"/>
  <c r="F238" i="1" s="1"/>
  <c r="AO95" i="1"/>
  <c r="AP95" i="1" s="1"/>
  <c r="DQ94" i="1"/>
  <c r="DO94" i="1"/>
  <c r="DM94" i="1"/>
  <c r="DK94" i="1"/>
  <c r="F237" i="1" s="1"/>
  <c r="AO94" i="1"/>
  <c r="AP94" i="1" s="1"/>
  <c r="DQ93" i="1"/>
  <c r="DO93" i="1"/>
  <c r="DM93" i="1"/>
  <c r="DK93" i="1"/>
  <c r="F236" i="1" s="1"/>
  <c r="AO93" i="1"/>
  <c r="AP93" i="1" s="1"/>
  <c r="DQ90" i="1"/>
  <c r="DR90" i="1" s="1"/>
  <c r="DO90" i="1"/>
  <c r="DP90" i="1" s="1"/>
  <c r="DM90" i="1"/>
  <c r="DN90" i="1" s="1"/>
  <c r="DK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O90" i="1"/>
  <c r="AP90" i="1" s="1"/>
  <c r="DQ89" i="1"/>
  <c r="DR89" i="1" s="1"/>
  <c r="DO89" i="1"/>
  <c r="DP89" i="1" s="1"/>
  <c r="DM89" i="1"/>
  <c r="DN89" i="1" s="1"/>
  <c r="DK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O89" i="1"/>
  <c r="AP89" i="1" s="1"/>
  <c r="DQ87" i="1"/>
  <c r="DR87" i="1" s="1"/>
  <c r="DO87" i="1"/>
  <c r="DP87" i="1" s="1"/>
  <c r="DM87" i="1"/>
  <c r="DN87" i="1" s="1"/>
  <c r="DK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O87" i="1"/>
  <c r="AP87" i="1" s="1"/>
  <c r="DQ86" i="1"/>
  <c r="DR86" i="1" s="1"/>
  <c r="DO86" i="1"/>
  <c r="DP86" i="1" s="1"/>
  <c r="DM86" i="1"/>
  <c r="DN86" i="1" s="1"/>
  <c r="DK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O86" i="1"/>
  <c r="AP86" i="1" s="1"/>
  <c r="DQ85" i="1"/>
  <c r="DR85" i="1" s="1"/>
  <c r="DO85" i="1"/>
  <c r="DP85" i="1" s="1"/>
  <c r="DM85" i="1"/>
  <c r="DN85" i="1" s="1"/>
  <c r="DK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O85" i="1"/>
  <c r="AP85" i="1" s="1"/>
  <c r="DQ84" i="1"/>
  <c r="DR84" i="1" s="1"/>
  <c r="DO84" i="1"/>
  <c r="DP84" i="1" s="1"/>
  <c r="DM84" i="1"/>
  <c r="DN84" i="1" s="1"/>
  <c r="DK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O84" i="1"/>
  <c r="AP84" i="1" s="1"/>
  <c r="DQ83" i="1"/>
  <c r="DO83" i="1"/>
  <c r="DM83" i="1"/>
  <c r="DK83" i="1"/>
  <c r="F267" i="1" s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O83" i="1"/>
  <c r="AP83" i="1" s="1"/>
  <c r="DQ80" i="1"/>
  <c r="DR80" i="1" s="1"/>
  <c r="DO80" i="1"/>
  <c r="DP80" i="1" s="1"/>
  <c r="DM80" i="1"/>
  <c r="DN80" i="1" s="1"/>
  <c r="DK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O80" i="1"/>
  <c r="AP80" i="1" s="1"/>
  <c r="DQ79" i="1"/>
  <c r="DR79" i="1" s="1"/>
  <c r="DO79" i="1"/>
  <c r="DP79" i="1" s="1"/>
  <c r="DM79" i="1"/>
  <c r="DN79" i="1" s="1"/>
  <c r="DK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O79" i="1"/>
  <c r="AP79" i="1" s="1"/>
  <c r="DQ78" i="1"/>
  <c r="DR78" i="1" s="1"/>
  <c r="DO78" i="1"/>
  <c r="DP78" i="1" s="1"/>
  <c r="DM78" i="1"/>
  <c r="DN78" i="1" s="1"/>
  <c r="DK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O78" i="1"/>
  <c r="AP78" i="1" s="1"/>
  <c r="DQ77" i="1"/>
  <c r="DR77" i="1" s="1"/>
  <c r="DO77" i="1"/>
  <c r="DP77" i="1" s="1"/>
  <c r="DM77" i="1"/>
  <c r="DN77" i="1" s="1"/>
  <c r="DK77" i="1"/>
  <c r="AO77" i="1"/>
  <c r="AP77" i="1" s="1"/>
  <c r="DQ76" i="1"/>
  <c r="DO76" i="1"/>
  <c r="DM76" i="1"/>
  <c r="DK76" i="1"/>
  <c r="F241" i="1" s="1"/>
  <c r="AO76" i="1"/>
  <c r="AP76" i="1" s="1"/>
  <c r="DQ75" i="1"/>
  <c r="DR75" i="1" s="1"/>
  <c r="DO75" i="1"/>
  <c r="DP75" i="1" s="1"/>
  <c r="DM75" i="1"/>
  <c r="DN75" i="1" s="1"/>
  <c r="DK75" i="1"/>
  <c r="AO75" i="1"/>
  <c r="AP75" i="1" s="1"/>
  <c r="DQ74" i="1"/>
  <c r="DO74" i="1"/>
  <c r="DP74" i="1" s="1"/>
  <c r="DM74" i="1"/>
  <c r="DN74" i="1" s="1"/>
  <c r="DK74" i="1"/>
  <c r="DL74" i="1" s="1"/>
  <c r="AO74" i="1"/>
  <c r="AP74" i="1" s="1"/>
  <c r="DQ73" i="1"/>
  <c r="DR73" i="1" s="1"/>
  <c r="DO73" i="1"/>
  <c r="DP73" i="1" s="1"/>
  <c r="DM73" i="1"/>
  <c r="DN73" i="1" s="1"/>
  <c r="DK73" i="1"/>
  <c r="AO73" i="1"/>
  <c r="AP73" i="1" s="1"/>
  <c r="DQ72" i="1"/>
  <c r="DR72" i="1" s="1"/>
  <c r="DO72" i="1"/>
  <c r="DP72" i="1" s="1"/>
  <c r="DM72" i="1"/>
  <c r="DN72" i="1" s="1"/>
  <c r="DK72" i="1"/>
  <c r="AO72" i="1"/>
  <c r="AP72" i="1" s="1"/>
  <c r="DQ71" i="1"/>
  <c r="DR71" i="1" s="1"/>
  <c r="DO71" i="1"/>
  <c r="DP71" i="1" s="1"/>
  <c r="DM71" i="1"/>
  <c r="DN71" i="1" s="1"/>
  <c r="DK71" i="1"/>
  <c r="F262" i="1" s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O71" i="1"/>
  <c r="AP71" i="1" s="1"/>
  <c r="DQ70" i="1"/>
  <c r="DO70" i="1"/>
  <c r="H264" i="1" s="1"/>
  <c r="DM70" i="1"/>
  <c r="DK70" i="1"/>
  <c r="F264" i="1" s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O70" i="1"/>
  <c r="AP70" i="1" s="1"/>
  <c r="DQ69" i="1"/>
  <c r="DO69" i="1"/>
  <c r="DM69" i="1"/>
  <c r="DK69" i="1"/>
  <c r="F221" i="1" s="1"/>
  <c r="AO69" i="1"/>
  <c r="AP69" i="1" s="1"/>
  <c r="DQ68" i="1"/>
  <c r="DO68" i="1"/>
  <c r="DM68" i="1"/>
  <c r="DK68" i="1"/>
  <c r="F222" i="1" s="1"/>
  <c r="DQ67" i="1"/>
  <c r="DO67" i="1"/>
  <c r="DM67" i="1"/>
  <c r="DK67" i="1"/>
  <c r="F220" i="1" s="1"/>
  <c r="DQ66" i="1"/>
  <c r="DO66" i="1"/>
  <c r="DM66" i="1"/>
  <c r="DK66" i="1"/>
  <c r="F223" i="1" s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O66" i="1"/>
  <c r="AP66" i="1" s="1"/>
  <c r="DQ65" i="1"/>
  <c r="DR65" i="1" s="1"/>
  <c r="DO65" i="1"/>
  <c r="DP65" i="1" s="1"/>
  <c r="DM65" i="1"/>
  <c r="DN65" i="1" s="1"/>
  <c r="DK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O65" i="1"/>
  <c r="AP65" i="1" s="1"/>
  <c r="DQ64" i="1"/>
  <c r="DR64" i="1" s="1"/>
  <c r="DO64" i="1"/>
  <c r="DP64" i="1" s="1"/>
  <c r="DM64" i="1"/>
  <c r="DN64" i="1" s="1"/>
  <c r="DK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O64" i="1"/>
  <c r="AP64" i="1" s="1"/>
  <c r="DQ63" i="1"/>
  <c r="DR63" i="1" s="1"/>
  <c r="DO63" i="1"/>
  <c r="DP63" i="1" s="1"/>
  <c r="DM63" i="1"/>
  <c r="DN63" i="1" s="1"/>
  <c r="DK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O63" i="1"/>
  <c r="AP63" i="1" s="1"/>
  <c r="DQ62" i="1"/>
  <c r="DR62" i="1" s="1"/>
  <c r="DO62" i="1"/>
  <c r="DP62" i="1" s="1"/>
  <c r="DM62" i="1"/>
  <c r="DN62" i="1" s="1"/>
  <c r="DK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O62" i="1"/>
  <c r="AP62" i="1" s="1"/>
  <c r="DQ61" i="1"/>
  <c r="DR61" i="1" s="1"/>
  <c r="DO61" i="1"/>
  <c r="DP61" i="1" s="1"/>
  <c r="DM61" i="1"/>
  <c r="DN61" i="1" s="1"/>
  <c r="DK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O61" i="1"/>
  <c r="AP61" i="1" s="1"/>
  <c r="DQ60" i="1"/>
  <c r="DR60" i="1" s="1"/>
  <c r="DO60" i="1"/>
  <c r="DP60" i="1" s="1"/>
  <c r="DM60" i="1"/>
  <c r="DN60" i="1" s="1"/>
  <c r="DK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O60" i="1"/>
  <c r="AP60" i="1" s="1"/>
  <c r="DQ59" i="1"/>
  <c r="DR59" i="1" s="1"/>
  <c r="DO59" i="1"/>
  <c r="DP59" i="1" s="1"/>
  <c r="DM59" i="1"/>
  <c r="DN59" i="1" s="1"/>
  <c r="DK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O59" i="1"/>
  <c r="AP59" i="1" s="1"/>
  <c r="DQ57" i="1"/>
  <c r="DR57" i="1" s="1"/>
  <c r="DO57" i="1"/>
  <c r="DP57" i="1" s="1"/>
  <c r="DM57" i="1"/>
  <c r="DN57" i="1" s="1"/>
  <c r="DK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O57" i="1"/>
  <c r="AP57" i="1" s="1"/>
  <c r="DQ56" i="1"/>
  <c r="DR56" i="1" s="1"/>
  <c r="DO56" i="1"/>
  <c r="DP56" i="1" s="1"/>
  <c r="DM56" i="1"/>
  <c r="DN56" i="1" s="1"/>
  <c r="DK56" i="1"/>
  <c r="DQ55" i="1"/>
  <c r="DR55" i="1" s="1"/>
  <c r="DO55" i="1"/>
  <c r="DP55" i="1" s="1"/>
  <c r="DM55" i="1"/>
  <c r="DN55" i="1" s="1"/>
  <c r="DK55" i="1"/>
  <c r="DQ54" i="1"/>
  <c r="I208" i="1" s="1"/>
  <c r="DO54" i="1"/>
  <c r="H208" i="1" s="1"/>
  <c r="DM54" i="1"/>
  <c r="G208" i="1" s="1"/>
  <c r="DK54" i="1"/>
  <c r="F208" i="1" s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O54" i="1"/>
  <c r="AP54" i="1" s="1"/>
  <c r="DQ53" i="1"/>
  <c r="DO53" i="1"/>
  <c r="DM53" i="1"/>
  <c r="DK53" i="1"/>
  <c r="F209" i="1" s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O53" i="1"/>
  <c r="AP53" i="1" s="1"/>
  <c r="DQ52" i="1"/>
  <c r="DO52" i="1"/>
  <c r="DM52" i="1"/>
  <c r="DK52" i="1"/>
  <c r="F211" i="1" s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O52" i="1"/>
  <c r="AP52" i="1" s="1"/>
  <c r="DQ51" i="1"/>
  <c r="DO51" i="1"/>
  <c r="DM51" i="1"/>
  <c r="DK51" i="1"/>
  <c r="F210" i="1" s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O51" i="1"/>
  <c r="AP51" i="1" s="1"/>
  <c r="DQ50" i="1"/>
  <c r="DR50" i="1" s="1"/>
  <c r="DO50" i="1"/>
  <c r="DP50" i="1" s="1"/>
  <c r="DM50" i="1"/>
  <c r="DN50" i="1" s="1"/>
  <c r="DK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O50" i="1"/>
  <c r="AP50" i="1" s="1"/>
  <c r="DQ49" i="1"/>
  <c r="DR49" i="1" s="1"/>
  <c r="DO49" i="1"/>
  <c r="DP49" i="1" s="1"/>
  <c r="DM49" i="1"/>
  <c r="DN49" i="1" s="1"/>
  <c r="DK49" i="1"/>
  <c r="DQ48" i="1"/>
  <c r="DR48" i="1" s="1"/>
  <c r="DO48" i="1"/>
  <c r="DP48" i="1" s="1"/>
  <c r="DM48" i="1"/>
  <c r="DN48" i="1" s="1"/>
  <c r="DK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O48" i="1"/>
  <c r="AP48" i="1" s="1"/>
  <c r="DQ47" i="1"/>
  <c r="DR47" i="1" s="1"/>
  <c r="DO47" i="1"/>
  <c r="DP47" i="1" s="1"/>
  <c r="DM47" i="1"/>
  <c r="DN47" i="1" s="1"/>
  <c r="DK47" i="1"/>
  <c r="DQ46" i="1"/>
  <c r="DR46" i="1" s="1"/>
  <c r="DO46" i="1"/>
  <c r="DP46" i="1" s="1"/>
  <c r="DM46" i="1"/>
  <c r="DN46" i="1" s="1"/>
  <c r="DK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O46" i="1"/>
  <c r="AP46" i="1" s="1"/>
  <c r="DQ45" i="1"/>
  <c r="DR45" i="1" s="1"/>
  <c r="DO45" i="1"/>
  <c r="DP45" i="1" s="1"/>
  <c r="DM45" i="1"/>
  <c r="DN45" i="1" s="1"/>
  <c r="DK45" i="1"/>
  <c r="AY45" i="1"/>
  <c r="DQ44" i="1"/>
  <c r="DR44" i="1" s="1"/>
  <c r="DO44" i="1"/>
  <c r="DP44" i="1" s="1"/>
  <c r="DM44" i="1"/>
  <c r="DN44" i="1" s="1"/>
  <c r="DK44" i="1"/>
  <c r="DQ42" i="1"/>
  <c r="DR42" i="1" s="1"/>
  <c r="DO42" i="1"/>
  <c r="DP42" i="1" s="1"/>
  <c r="DM42" i="1"/>
  <c r="DN42" i="1" s="1"/>
  <c r="DK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O42" i="1"/>
  <c r="AP42" i="1" s="1"/>
  <c r="DQ41" i="1"/>
  <c r="DR41" i="1" s="1"/>
  <c r="DO41" i="1"/>
  <c r="DP41" i="1" s="1"/>
  <c r="DM41" i="1"/>
  <c r="DN41" i="1" s="1"/>
  <c r="DK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O41" i="1"/>
  <c r="AP41" i="1" s="1"/>
  <c r="DQ39" i="1"/>
  <c r="DR39" i="1" s="1"/>
  <c r="DO39" i="1"/>
  <c r="DP39" i="1" s="1"/>
  <c r="DM39" i="1"/>
  <c r="DN39" i="1" s="1"/>
  <c r="DK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O39" i="1"/>
  <c r="AP39" i="1" s="1"/>
  <c r="DQ38" i="1"/>
  <c r="DR38" i="1" s="1"/>
  <c r="DO38" i="1"/>
  <c r="DP38" i="1" s="1"/>
  <c r="DM38" i="1"/>
  <c r="DN38" i="1" s="1"/>
  <c r="DK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O38" i="1"/>
  <c r="AP38" i="1" s="1"/>
  <c r="DQ37" i="1"/>
  <c r="DR37" i="1" s="1"/>
  <c r="DO37" i="1"/>
  <c r="DP37" i="1" s="1"/>
  <c r="DM37" i="1"/>
  <c r="DN37" i="1" s="1"/>
  <c r="DK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O37" i="1"/>
  <c r="AP37" i="1" s="1"/>
  <c r="DQ36" i="1"/>
  <c r="DR36" i="1" s="1"/>
  <c r="DO36" i="1"/>
  <c r="DP36" i="1" s="1"/>
  <c r="DM36" i="1"/>
  <c r="DN36" i="1" s="1"/>
  <c r="DK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O36" i="1"/>
  <c r="AP36" i="1" s="1"/>
  <c r="DQ35" i="1"/>
  <c r="DR35" i="1" s="1"/>
  <c r="DO35" i="1"/>
  <c r="DP35" i="1" s="1"/>
  <c r="DM35" i="1"/>
  <c r="DN35" i="1" s="1"/>
  <c r="DK35" i="1"/>
  <c r="DQ34" i="1"/>
  <c r="DR34" i="1" s="1"/>
  <c r="DO34" i="1"/>
  <c r="DP34" i="1" s="1"/>
  <c r="DM34" i="1"/>
  <c r="DN34" i="1" s="1"/>
  <c r="DK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O34" i="1"/>
  <c r="AP34" i="1" s="1"/>
  <c r="DQ33" i="1"/>
  <c r="DR33" i="1" s="1"/>
  <c r="DO33" i="1"/>
  <c r="DP33" i="1" s="1"/>
  <c r="DM33" i="1"/>
  <c r="DN33" i="1" s="1"/>
  <c r="DK33" i="1"/>
  <c r="DQ32" i="1"/>
  <c r="DR32" i="1" s="1"/>
  <c r="DO32" i="1"/>
  <c r="DP32" i="1" s="1"/>
  <c r="DM32" i="1"/>
  <c r="DN32" i="1" s="1"/>
  <c r="DK32" i="1"/>
  <c r="DQ31" i="1"/>
  <c r="DR31" i="1" s="1"/>
  <c r="DO31" i="1"/>
  <c r="DP31" i="1" s="1"/>
  <c r="DM31" i="1"/>
  <c r="DN31" i="1" s="1"/>
  <c r="DK31" i="1"/>
  <c r="DQ30" i="1"/>
  <c r="DR30" i="1" s="1"/>
  <c r="DO30" i="1"/>
  <c r="DP30" i="1" s="1"/>
  <c r="DM30" i="1"/>
  <c r="DN30" i="1" s="1"/>
  <c r="DK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O30" i="1"/>
  <c r="AP30" i="1" s="1"/>
  <c r="DQ29" i="1"/>
  <c r="DR29" i="1" s="1"/>
  <c r="DO29" i="1"/>
  <c r="DP29" i="1" s="1"/>
  <c r="DM29" i="1"/>
  <c r="DN29" i="1" s="1"/>
  <c r="DK29" i="1"/>
  <c r="DQ28" i="1"/>
  <c r="DR28" i="1" s="1"/>
  <c r="DO28" i="1"/>
  <c r="DP28" i="1" s="1"/>
  <c r="DM28" i="1"/>
  <c r="DN28" i="1" s="1"/>
  <c r="DK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O28" i="1"/>
  <c r="AP28" i="1" s="1"/>
  <c r="DQ27" i="1"/>
  <c r="DR27" i="1" s="1"/>
  <c r="DO27" i="1"/>
  <c r="DP27" i="1" s="1"/>
  <c r="DM27" i="1"/>
  <c r="DN27" i="1" s="1"/>
  <c r="DK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O27" i="1"/>
  <c r="AP27" i="1" s="1"/>
  <c r="DQ26" i="1"/>
  <c r="DR26" i="1" s="1"/>
  <c r="DO26" i="1"/>
  <c r="DP26" i="1" s="1"/>
  <c r="DM26" i="1"/>
  <c r="DN26" i="1" s="1"/>
  <c r="DK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O26" i="1"/>
  <c r="AP26" i="1" s="1"/>
  <c r="DQ25" i="1"/>
  <c r="DO25" i="1"/>
  <c r="DM25" i="1"/>
  <c r="DK25" i="1"/>
  <c r="F246" i="1" s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O25" i="1"/>
  <c r="AP25" i="1" s="1"/>
  <c r="DQ24" i="1"/>
  <c r="DO24" i="1"/>
  <c r="DM24" i="1"/>
  <c r="DK24" i="1"/>
  <c r="F240" i="1" s="1"/>
  <c r="AO24" i="1"/>
  <c r="DQ23" i="1"/>
  <c r="DO23" i="1"/>
  <c r="DM23" i="1"/>
  <c r="DK23" i="1"/>
  <c r="F239" i="1" s="1"/>
  <c r="AO23" i="1"/>
  <c r="DQ22" i="1"/>
  <c r="DO22" i="1"/>
  <c r="DM22" i="1"/>
  <c r="DK22" i="1"/>
  <c r="F256" i="1" s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O22" i="1"/>
  <c r="DQ21" i="1"/>
  <c r="DO21" i="1"/>
  <c r="DM21" i="1"/>
  <c r="DK21" i="1"/>
  <c r="F255" i="1" s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O21" i="1"/>
  <c r="AP21" i="1" s="1"/>
  <c r="DQ20" i="1"/>
  <c r="DR20" i="1" s="1"/>
  <c r="DO20" i="1"/>
  <c r="DP20" i="1" s="1"/>
  <c r="DM20" i="1"/>
  <c r="DN20" i="1" s="1"/>
  <c r="DK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O20" i="1"/>
  <c r="AP20" i="1" s="1"/>
  <c r="DQ18" i="1"/>
  <c r="DR18" i="1" s="1"/>
  <c r="DO18" i="1"/>
  <c r="DP18" i="1" s="1"/>
  <c r="DM18" i="1"/>
  <c r="DN18" i="1" s="1"/>
  <c r="DK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O18" i="1"/>
  <c r="AP18" i="1" s="1"/>
  <c r="DQ17" i="1"/>
  <c r="DR17" i="1" s="1"/>
  <c r="DO17" i="1"/>
  <c r="DP17" i="1" s="1"/>
  <c r="DM17" i="1"/>
  <c r="DN17" i="1" s="1"/>
  <c r="DK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O17" i="1"/>
  <c r="AP17" i="1" s="1"/>
  <c r="DQ16" i="1"/>
  <c r="DO16" i="1"/>
  <c r="DM16" i="1"/>
  <c r="DK16" i="1"/>
  <c r="F254" i="1" s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O16" i="1"/>
  <c r="AP16" i="1" s="1"/>
  <c r="DQ15" i="1"/>
  <c r="DR15" i="1" s="1"/>
  <c r="DO15" i="1"/>
  <c r="DP15" i="1" s="1"/>
  <c r="DM15" i="1"/>
  <c r="DN15" i="1" s="1"/>
  <c r="DK15" i="1"/>
  <c r="DQ13" i="1"/>
  <c r="DR13" i="1" s="1"/>
  <c r="DO13" i="1"/>
  <c r="DP13" i="1" s="1"/>
  <c r="DM13" i="1"/>
  <c r="DN13" i="1" s="1"/>
  <c r="DK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O13" i="1"/>
  <c r="AP13" i="1" s="1"/>
  <c r="DQ12" i="1"/>
  <c r="DR12" i="1" s="1"/>
  <c r="DO12" i="1"/>
  <c r="DP12" i="1" s="1"/>
  <c r="DM12" i="1"/>
  <c r="DN12" i="1" s="1"/>
  <c r="DK12" i="1"/>
  <c r="DQ11" i="1"/>
  <c r="DR11" i="1" s="1"/>
  <c r="I218" i="1" s="1"/>
  <c r="DO11" i="1"/>
  <c r="DP11" i="1" s="1"/>
  <c r="H218" i="1" s="1"/>
  <c r="DM11" i="1"/>
  <c r="DN11" i="1" s="1"/>
  <c r="G218" i="1" s="1"/>
  <c r="DK11" i="1"/>
  <c r="AO11" i="1"/>
  <c r="AP11" i="1" s="1"/>
  <c r="DQ10" i="1"/>
  <c r="DR10" i="1" s="1"/>
  <c r="DO10" i="1"/>
  <c r="DP10" i="1" s="1"/>
  <c r="DM10" i="1"/>
  <c r="DN10" i="1" s="1"/>
  <c r="DK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O10" i="1"/>
  <c r="AP10" i="1" s="1"/>
  <c r="DQ9" i="1"/>
  <c r="DR9" i="1" s="1"/>
  <c r="DO9" i="1"/>
  <c r="DP9" i="1" s="1"/>
  <c r="DM9" i="1"/>
  <c r="DN9" i="1" s="1"/>
  <c r="DK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O9" i="1"/>
  <c r="AP9" i="1" s="1"/>
  <c r="DQ8" i="1"/>
  <c r="DR8" i="1" s="1"/>
  <c r="DO8" i="1"/>
  <c r="DP8" i="1" s="1"/>
  <c r="DM8" i="1"/>
  <c r="DN8" i="1" s="1"/>
  <c r="DK8" i="1"/>
  <c r="DQ7" i="1"/>
  <c r="DR7" i="1" s="1"/>
  <c r="DO7" i="1"/>
  <c r="DP7" i="1" s="1"/>
  <c r="DM7" i="1"/>
  <c r="DN7" i="1" s="1"/>
  <c r="DK7" i="1"/>
  <c r="DQ6" i="1"/>
  <c r="DO6" i="1"/>
  <c r="DM6" i="1"/>
  <c r="G217" i="1" s="1"/>
  <c r="DK6" i="1"/>
  <c r="F217" i="1" s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O6" i="1"/>
  <c r="AP6" i="1" s="1"/>
  <c r="DQ5" i="1"/>
  <c r="DR5" i="1" s="1"/>
  <c r="DO5" i="1"/>
  <c r="DP5" i="1" s="1"/>
  <c r="DM5" i="1"/>
  <c r="DN5" i="1" s="1"/>
  <c r="DK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DL6" i="1" l="1"/>
  <c r="H276" i="1"/>
  <c r="I276" i="1"/>
  <c r="DI100" i="1"/>
  <c r="DI136" i="1"/>
  <c r="DJ136" i="1" s="1"/>
  <c r="DL178" i="1"/>
  <c r="DS178" i="1"/>
  <c r="DT178" i="1" s="1"/>
  <c r="AP150" i="1"/>
  <c r="DI132" i="1"/>
  <c r="DJ132" i="1" s="1"/>
  <c r="DI133" i="1"/>
  <c r="DJ133" i="1" s="1"/>
  <c r="DI116" i="1"/>
  <c r="DJ116" i="1" s="1"/>
  <c r="AQ116" i="1" s="1"/>
  <c r="DI76" i="1"/>
  <c r="AW201" i="1"/>
  <c r="G200" i="1"/>
  <c r="DL116" i="1"/>
  <c r="J208" i="1"/>
  <c r="DN178" i="1"/>
  <c r="F200" i="1"/>
  <c r="J276" i="1"/>
  <c r="DI164" i="1"/>
  <c r="AP23" i="1"/>
  <c r="G275" i="1"/>
  <c r="H275" i="1"/>
  <c r="O275" i="1" s="1"/>
  <c r="Q275" i="1" s="1"/>
  <c r="G198" i="1"/>
  <c r="J198" i="1" s="1"/>
  <c r="DI24" i="1"/>
  <c r="AS24" i="1" s="1"/>
  <c r="D240" i="1" s="1"/>
  <c r="DI75" i="1"/>
  <c r="AS75" i="1" s="1"/>
  <c r="DI118" i="1"/>
  <c r="AS118" i="1" s="1"/>
  <c r="D231" i="1" s="1"/>
  <c r="DI122" i="1"/>
  <c r="AS122" i="1" s="1"/>
  <c r="DI11" i="1"/>
  <c r="AS11" i="1" s="1"/>
  <c r="D218" i="1" s="1"/>
  <c r="DI23" i="1"/>
  <c r="AS23" i="1" s="1"/>
  <c r="D239" i="1" s="1"/>
  <c r="DI137" i="1"/>
  <c r="AS137" i="1" s="1"/>
  <c r="DI29" i="1"/>
  <c r="AS29" i="1" s="1"/>
  <c r="DI121" i="1"/>
  <c r="AS121" i="1" s="1"/>
  <c r="D212" i="1" s="1"/>
  <c r="G199" i="1"/>
  <c r="DI106" i="1"/>
  <c r="AS106" i="1" s="1"/>
  <c r="D196" i="1" s="1"/>
  <c r="DI113" i="1"/>
  <c r="DJ113" i="1" s="1"/>
  <c r="DI165" i="1"/>
  <c r="DJ165" i="1" s="1"/>
  <c r="DI174" i="1"/>
  <c r="DJ174" i="1" s="1"/>
  <c r="AQ174" i="1" s="1"/>
  <c r="DI178" i="1"/>
  <c r="DJ178" i="1" s="1"/>
  <c r="DI187" i="1"/>
  <c r="DJ187" i="1" s="1"/>
  <c r="AQ187" i="1" s="1"/>
  <c r="DI112" i="1"/>
  <c r="DJ112" i="1" s="1"/>
  <c r="DL71" i="1"/>
  <c r="AS205" i="1" s="1"/>
  <c r="DI139" i="1"/>
  <c r="AS139" i="1" s="1"/>
  <c r="F199" i="1"/>
  <c r="F277" i="1"/>
  <c r="AP153" i="1"/>
  <c r="DI138" i="1"/>
  <c r="AS138" i="1" s="1"/>
  <c r="F275" i="1"/>
  <c r="H212" i="1"/>
  <c r="I277" i="1"/>
  <c r="I199" i="1"/>
  <c r="F198" i="1"/>
  <c r="G212" i="1"/>
  <c r="G277" i="1"/>
  <c r="DI61" i="1"/>
  <c r="AS61" i="1" s="1"/>
  <c r="DI60" i="1"/>
  <c r="AS60" i="1" s="1"/>
  <c r="DI65" i="1"/>
  <c r="AS65" i="1" s="1"/>
  <c r="DI79" i="1"/>
  <c r="AS79" i="1" s="1"/>
  <c r="DI83" i="1"/>
  <c r="AS83" i="1" s="1"/>
  <c r="D267" i="1" s="1"/>
  <c r="DI85" i="1"/>
  <c r="AS85" i="1" s="1"/>
  <c r="DI150" i="1"/>
  <c r="AS150" i="1" s="1"/>
  <c r="DI151" i="1"/>
  <c r="AS151" i="1" s="1"/>
  <c r="DI156" i="1"/>
  <c r="AS156" i="1" s="1"/>
  <c r="DI160" i="1"/>
  <c r="AS160" i="1" s="1"/>
  <c r="DI69" i="1"/>
  <c r="AS69" i="1" s="1"/>
  <c r="D221" i="1" s="1"/>
  <c r="AP31" i="1"/>
  <c r="AQ31" i="1" s="1"/>
  <c r="DI77" i="1"/>
  <c r="AS77" i="1" s="1"/>
  <c r="DI110" i="1"/>
  <c r="AS110" i="1" s="1"/>
  <c r="DI56" i="1"/>
  <c r="AS56" i="1" s="1"/>
  <c r="DI107" i="1"/>
  <c r="AS107" i="1" s="1"/>
  <c r="DI10" i="1"/>
  <c r="AS10" i="1" s="1"/>
  <c r="DI67" i="1"/>
  <c r="AS67" i="1" s="1"/>
  <c r="D220" i="1" s="1"/>
  <c r="DI146" i="1"/>
  <c r="AS146" i="1" s="1"/>
  <c r="DI21" i="1"/>
  <c r="AS21" i="1" s="1"/>
  <c r="D255" i="1" s="1"/>
  <c r="DI44" i="1"/>
  <c r="AS44" i="1" s="1"/>
  <c r="DI93" i="1"/>
  <c r="AS93" i="1" s="1"/>
  <c r="D236" i="1" s="1"/>
  <c r="DI59" i="1"/>
  <c r="AS59" i="1" s="1"/>
  <c r="DI64" i="1"/>
  <c r="AS64" i="1" s="1"/>
  <c r="DI13" i="1"/>
  <c r="AS13" i="1" s="1"/>
  <c r="DI31" i="1"/>
  <c r="AS31" i="1" s="1"/>
  <c r="DI103" i="1"/>
  <c r="AS103" i="1" s="1"/>
  <c r="D195" i="1" s="1"/>
  <c r="DI117" i="1"/>
  <c r="AS117" i="1" s="1"/>
  <c r="DI53" i="1"/>
  <c r="AS53" i="1" s="1"/>
  <c r="D209" i="1" s="1"/>
  <c r="DI9" i="1"/>
  <c r="AS9" i="1" s="1"/>
  <c r="DI22" i="1"/>
  <c r="AS22" i="1" s="1"/>
  <c r="D256" i="1" s="1"/>
  <c r="DI5" i="1"/>
  <c r="AS5" i="1" s="1"/>
  <c r="DI73" i="1"/>
  <c r="AS73" i="1" s="1"/>
  <c r="DI66" i="1"/>
  <c r="AS66" i="1" s="1"/>
  <c r="D223" i="1" s="1"/>
  <c r="DI55" i="1"/>
  <c r="AS55" i="1" s="1"/>
  <c r="AS25" i="1"/>
  <c r="D246" i="1" s="1"/>
  <c r="DI54" i="1"/>
  <c r="AS54" i="1" s="1"/>
  <c r="D208" i="1" s="1"/>
  <c r="DI16" i="1"/>
  <c r="AS16" i="1" s="1"/>
  <c r="D254" i="1" s="1"/>
  <c r="DI20" i="1"/>
  <c r="AS20" i="1" s="1"/>
  <c r="AS136" i="1"/>
  <c r="DI189" i="1"/>
  <c r="AS189" i="1" s="1"/>
  <c r="D271" i="1" s="1"/>
  <c r="DI191" i="1"/>
  <c r="AS191" i="1" s="1"/>
  <c r="DI95" i="1"/>
  <c r="AS95" i="1" s="1"/>
  <c r="D238" i="1" s="1"/>
  <c r="AP169" i="1"/>
  <c r="AP108" i="1"/>
  <c r="I212" i="1"/>
  <c r="DJ164" i="1"/>
  <c r="AQ164" i="1" s="1"/>
  <c r="DI47" i="1"/>
  <c r="AS47" i="1" s="1"/>
  <c r="DR187" i="1"/>
  <c r="I275" i="1"/>
  <c r="DP180" i="1"/>
  <c r="H277" i="1"/>
  <c r="H200" i="1"/>
  <c r="DP88" i="1"/>
  <c r="H199" i="1"/>
  <c r="DP91" i="1"/>
  <c r="DS91" i="1"/>
  <c r="DT91" i="1" s="1"/>
  <c r="H198" i="1"/>
  <c r="DP92" i="1"/>
  <c r="DI68" i="1"/>
  <c r="DS88" i="1"/>
  <c r="DT88" i="1" s="1"/>
  <c r="DR88" i="1"/>
  <c r="DS92" i="1"/>
  <c r="DT92" i="1" s="1"/>
  <c r="DR92" i="1"/>
  <c r="DI166" i="1"/>
  <c r="AS166" i="1" s="1"/>
  <c r="DI99" i="1"/>
  <c r="AS99" i="1" s="1"/>
  <c r="D202" i="1" s="1"/>
  <c r="DI97" i="1"/>
  <c r="DI120" i="1"/>
  <c r="DS180" i="1"/>
  <c r="DT180" i="1" s="1"/>
  <c r="DI50" i="1"/>
  <c r="DI28" i="1"/>
  <c r="DI26" i="1"/>
  <c r="DI190" i="1"/>
  <c r="DI96" i="1"/>
  <c r="DI188" i="1"/>
  <c r="DI49" i="1"/>
  <c r="DR190" i="1"/>
  <c r="I272" i="1"/>
  <c r="DP190" i="1"/>
  <c r="H272" i="1"/>
  <c r="DN190" i="1"/>
  <c r="G272" i="1"/>
  <c r="J272" i="1" s="1"/>
  <c r="DR189" i="1"/>
  <c r="I271" i="1"/>
  <c r="DP189" i="1"/>
  <c r="H271" i="1"/>
  <c r="DN189" i="1"/>
  <c r="G271" i="1"/>
  <c r="DR129" i="1"/>
  <c r="AV213" i="1" s="1"/>
  <c r="I268" i="1"/>
  <c r="DP129" i="1"/>
  <c r="AU213" i="1" s="1"/>
  <c r="H268" i="1"/>
  <c r="DN129" i="1"/>
  <c r="AT213" i="1" s="1"/>
  <c r="G268" i="1"/>
  <c r="J268" i="1" s="1"/>
  <c r="DR128" i="1"/>
  <c r="AV212" i="1" s="1"/>
  <c r="I261" i="1"/>
  <c r="DP128" i="1"/>
  <c r="AU212" i="1" s="1"/>
  <c r="H261" i="1"/>
  <c r="DN128" i="1"/>
  <c r="AT212" i="1" s="1"/>
  <c r="G261" i="1"/>
  <c r="DR83" i="1"/>
  <c r="I267" i="1"/>
  <c r="DP83" i="1"/>
  <c r="H267" i="1"/>
  <c r="DN83" i="1"/>
  <c r="G267" i="1"/>
  <c r="AV205" i="1"/>
  <c r="I262" i="1"/>
  <c r="AU205" i="1"/>
  <c r="H262" i="1"/>
  <c r="AT205" i="1"/>
  <c r="G262" i="1"/>
  <c r="DR70" i="1"/>
  <c r="AV206" i="1" s="1"/>
  <c r="I264" i="1"/>
  <c r="DP70" i="1"/>
  <c r="AU206" i="1" s="1"/>
  <c r="DN70" i="1"/>
  <c r="AT206" i="1" s="1"/>
  <c r="G264" i="1"/>
  <c r="J264" i="1" s="1"/>
  <c r="DR22" i="1"/>
  <c r="I256" i="1"/>
  <c r="DP22" i="1"/>
  <c r="H256" i="1"/>
  <c r="DN22" i="1"/>
  <c r="G256" i="1"/>
  <c r="J256" i="1" s="1"/>
  <c r="DR21" i="1"/>
  <c r="I255" i="1"/>
  <c r="DP21" i="1"/>
  <c r="H255" i="1"/>
  <c r="DN21" i="1"/>
  <c r="G255" i="1"/>
  <c r="DR16" i="1"/>
  <c r="I254" i="1"/>
  <c r="DP16" i="1"/>
  <c r="H254" i="1"/>
  <c r="DJ88" i="1"/>
  <c r="AQ88" i="1" s="1"/>
  <c r="AS88" i="1"/>
  <c r="D200" i="1" s="1"/>
  <c r="AS91" i="1"/>
  <c r="D199" i="1" s="1"/>
  <c r="DJ91" i="1"/>
  <c r="AQ91" i="1" s="1"/>
  <c r="DN16" i="1"/>
  <c r="G254" i="1"/>
  <c r="AS92" i="1"/>
  <c r="D198" i="1" s="1"/>
  <c r="DJ92" i="1"/>
  <c r="AQ92" i="1" s="1"/>
  <c r="DI162" i="1"/>
  <c r="DI104" i="1"/>
  <c r="AS104" i="1" s="1"/>
  <c r="D245" i="1" s="1"/>
  <c r="DI41" i="1"/>
  <c r="DI6" i="1"/>
  <c r="DR120" i="1"/>
  <c r="I232" i="1"/>
  <c r="J232" i="1" s="1"/>
  <c r="DP120" i="1"/>
  <c r="H232" i="1"/>
  <c r="DN120" i="1"/>
  <c r="G232" i="1"/>
  <c r="DR113" i="1"/>
  <c r="I227" i="1"/>
  <c r="DP113" i="1"/>
  <c r="H227" i="1"/>
  <c r="DN113" i="1"/>
  <c r="G227" i="1"/>
  <c r="DR112" i="1"/>
  <c r="I226" i="1"/>
  <c r="J226" i="1" s="1"/>
  <c r="DP112" i="1"/>
  <c r="H226" i="1"/>
  <c r="DN112" i="1"/>
  <c r="G226" i="1"/>
  <c r="DR109" i="1"/>
  <c r="I225" i="1"/>
  <c r="DP109" i="1"/>
  <c r="H225" i="1"/>
  <c r="DN109" i="1"/>
  <c r="G225" i="1"/>
  <c r="DR108" i="1"/>
  <c r="I224" i="1"/>
  <c r="J224" i="1" s="1"/>
  <c r="DP108" i="1"/>
  <c r="H224" i="1"/>
  <c r="DN108" i="1"/>
  <c r="G224" i="1"/>
  <c r="DR106" i="1"/>
  <c r="I196" i="1"/>
  <c r="DP106" i="1"/>
  <c r="H196" i="1"/>
  <c r="DN106" i="1"/>
  <c r="G196" i="1"/>
  <c r="DR105" i="1"/>
  <c r="I197" i="1"/>
  <c r="DP105" i="1"/>
  <c r="H197" i="1"/>
  <c r="DN105" i="1"/>
  <c r="G197" i="1"/>
  <c r="DR104" i="1"/>
  <c r="I245" i="1"/>
  <c r="DP104" i="1"/>
  <c r="H245" i="1"/>
  <c r="O245" i="1" s="1"/>
  <c r="Q245" i="1" s="1"/>
  <c r="DN104" i="1"/>
  <c r="G245" i="1"/>
  <c r="DR103" i="1"/>
  <c r="I195" i="1"/>
  <c r="DP103" i="1"/>
  <c r="H195" i="1"/>
  <c r="DN103" i="1"/>
  <c r="G195" i="1"/>
  <c r="DR100" i="1"/>
  <c r="I203" i="1"/>
  <c r="DP100" i="1"/>
  <c r="H203" i="1"/>
  <c r="DN100" i="1"/>
  <c r="G203" i="1"/>
  <c r="DR99" i="1"/>
  <c r="I202" i="1"/>
  <c r="DP99" i="1"/>
  <c r="H202" i="1"/>
  <c r="DN99" i="1"/>
  <c r="G202" i="1"/>
  <c r="DR98" i="1"/>
  <c r="I244" i="1"/>
  <c r="DP98" i="1"/>
  <c r="H244" i="1"/>
  <c r="O244" i="1" s="1"/>
  <c r="Q244" i="1" s="1"/>
  <c r="DN98" i="1"/>
  <c r="G244" i="1"/>
  <c r="DR97" i="1"/>
  <c r="I242" i="1"/>
  <c r="J242" i="1" s="1"/>
  <c r="DP97" i="1"/>
  <c r="H242" i="1"/>
  <c r="DN97" i="1"/>
  <c r="G242" i="1"/>
  <c r="DR96" i="1"/>
  <c r="I243" i="1"/>
  <c r="DP96" i="1"/>
  <c r="H243" i="1"/>
  <c r="DN96" i="1"/>
  <c r="G243" i="1"/>
  <c r="DR95" i="1"/>
  <c r="I238" i="1"/>
  <c r="DP95" i="1"/>
  <c r="H238" i="1"/>
  <c r="DN95" i="1"/>
  <c r="G238" i="1"/>
  <c r="DR94" i="1"/>
  <c r="I237" i="1"/>
  <c r="DP94" i="1"/>
  <c r="H237" i="1"/>
  <c r="O237" i="1" s="1"/>
  <c r="Q237" i="1" s="1"/>
  <c r="DN94" i="1"/>
  <c r="G237" i="1"/>
  <c r="DR93" i="1"/>
  <c r="I236" i="1"/>
  <c r="DP93" i="1"/>
  <c r="H236" i="1"/>
  <c r="O236" i="1" s="1"/>
  <c r="Q236" i="1" s="1"/>
  <c r="DN93" i="1"/>
  <c r="G236" i="1"/>
  <c r="DR76" i="1"/>
  <c r="I241" i="1"/>
  <c r="DP76" i="1"/>
  <c r="H241" i="1"/>
  <c r="DN76" i="1"/>
  <c r="G241" i="1"/>
  <c r="DR69" i="1"/>
  <c r="I221" i="1"/>
  <c r="DP69" i="1"/>
  <c r="H221" i="1"/>
  <c r="DN69" i="1"/>
  <c r="G221" i="1"/>
  <c r="DR68" i="1"/>
  <c r="I222" i="1"/>
  <c r="DP68" i="1"/>
  <c r="H222" i="1"/>
  <c r="DN68" i="1"/>
  <c r="G222" i="1"/>
  <c r="DR67" i="1"/>
  <c r="I220" i="1"/>
  <c r="DP67" i="1"/>
  <c r="H220" i="1"/>
  <c r="DN67" i="1"/>
  <c r="G220" i="1"/>
  <c r="DR66" i="1"/>
  <c r="I223" i="1"/>
  <c r="DP66" i="1"/>
  <c r="H223" i="1"/>
  <c r="DN66" i="1"/>
  <c r="G223" i="1"/>
  <c r="J223" i="1" s="1"/>
  <c r="DR54" i="1"/>
  <c r="DP54" i="1"/>
  <c r="DN54" i="1"/>
  <c r="DR53" i="1"/>
  <c r="I209" i="1"/>
  <c r="DP53" i="1"/>
  <c r="H209" i="1"/>
  <c r="DN53" i="1"/>
  <c r="G209" i="1"/>
  <c r="DR52" i="1"/>
  <c r="I211" i="1"/>
  <c r="DP52" i="1"/>
  <c r="H211" i="1"/>
  <c r="DN52" i="1"/>
  <c r="G211" i="1"/>
  <c r="DR51" i="1"/>
  <c r="I210" i="1"/>
  <c r="DP51" i="1"/>
  <c r="H210" i="1"/>
  <c r="DN51" i="1"/>
  <c r="G210" i="1"/>
  <c r="DR25" i="1"/>
  <c r="I246" i="1"/>
  <c r="DP25" i="1"/>
  <c r="H246" i="1"/>
  <c r="DN25" i="1"/>
  <c r="G246" i="1"/>
  <c r="DR24" i="1"/>
  <c r="I240" i="1"/>
  <c r="DP24" i="1"/>
  <c r="H240" i="1"/>
  <c r="DN24" i="1"/>
  <c r="G240" i="1"/>
  <c r="DR23" i="1"/>
  <c r="I239" i="1"/>
  <c r="DP23" i="1"/>
  <c r="H239" i="1"/>
  <c r="DN23" i="1"/>
  <c r="G239" i="1"/>
  <c r="DR6" i="1"/>
  <c r="AV197" i="1" s="1"/>
  <c r="I217" i="1"/>
  <c r="DP6" i="1"/>
  <c r="AU197" i="1" s="1"/>
  <c r="H217" i="1"/>
  <c r="DN6" i="1"/>
  <c r="AT197" i="1" s="1"/>
  <c r="DI126" i="1"/>
  <c r="DI80" i="1"/>
  <c r="DI36" i="1"/>
  <c r="DI105" i="1"/>
  <c r="DI70" i="1"/>
  <c r="DI163" i="1"/>
  <c r="DI42" i="1"/>
  <c r="DI30" i="1"/>
  <c r="DI35" i="1"/>
  <c r="DI157" i="1"/>
  <c r="DI98" i="1"/>
  <c r="DI119" i="1"/>
  <c r="DI127" i="1"/>
  <c r="AS127" i="1" s="1"/>
  <c r="DI62" i="1"/>
  <c r="DI17" i="1"/>
  <c r="DI131" i="1"/>
  <c r="DI143" i="1"/>
  <c r="DJ143" i="1" s="1"/>
  <c r="DI140" i="1"/>
  <c r="DI33" i="1"/>
  <c r="AS33" i="1" s="1"/>
  <c r="DI18" i="1"/>
  <c r="DI38" i="1"/>
  <c r="DI52" i="1"/>
  <c r="DI128" i="1"/>
  <c r="DI111" i="1"/>
  <c r="AS111" i="1" s="1"/>
  <c r="DI27" i="1"/>
  <c r="DI63" i="1"/>
  <c r="DI141" i="1"/>
  <c r="DI142" i="1"/>
  <c r="DJ142" i="1" s="1"/>
  <c r="DI8" i="1"/>
  <c r="AS8" i="1" s="1"/>
  <c r="DI159" i="1"/>
  <c r="DI134" i="1"/>
  <c r="DI51" i="1"/>
  <c r="DI32" i="1"/>
  <c r="DI161" i="1"/>
  <c r="DI71" i="1"/>
  <c r="DI123" i="1"/>
  <c r="DI125" i="1"/>
  <c r="DI129" i="1"/>
  <c r="DI135" i="1"/>
  <c r="DI101" i="1"/>
  <c r="AS101" i="1" s="1"/>
  <c r="DI145" i="1"/>
  <c r="DI148" i="1"/>
  <c r="DI149" i="1"/>
  <c r="DI115" i="1"/>
  <c r="DI94" i="1"/>
  <c r="AS94" i="1" s="1"/>
  <c r="D237" i="1" s="1"/>
  <c r="DI74" i="1"/>
  <c r="DI72" i="1"/>
  <c r="DI7" i="1"/>
  <c r="DI15" i="1"/>
  <c r="DI12" i="1"/>
  <c r="DI186" i="1"/>
  <c r="DI185" i="1"/>
  <c r="DI184" i="1"/>
  <c r="DI183" i="1"/>
  <c r="DI182" i="1"/>
  <c r="DI180" i="1"/>
  <c r="DI179" i="1"/>
  <c r="DI177" i="1"/>
  <c r="DI176" i="1"/>
  <c r="DI175" i="1"/>
  <c r="DI173" i="1"/>
  <c r="DI171" i="1"/>
  <c r="AS171" i="1" s="1"/>
  <c r="DI170" i="1"/>
  <c r="AS170" i="1" s="1"/>
  <c r="DI169" i="1"/>
  <c r="AS169" i="1" s="1"/>
  <c r="DI155" i="1"/>
  <c r="DI154" i="1"/>
  <c r="DI152" i="1"/>
  <c r="AS152" i="1" s="1"/>
  <c r="DI90" i="1"/>
  <c r="DI89" i="1"/>
  <c r="DI87" i="1"/>
  <c r="DI86" i="1"/>
  <c r="DI84" i="1"/>
  <c r="DI78" i="1"/>
  <c r="DI57" i="1"/>
  <c r="DI48" i="1"/>
  <c r="DI46" i="1"/>
  <c r="DI45" i="1"/>
  <c r="DI39" i="1"/>
  <c r="DI37" i="1"/>
  <c r="DI34" i="1"/>
  <c r="DI181" i="1"/>
  <c r="DI172" i="1"/>
  <c r="DI153" i="1"/>
  <c r="AS153" i="1" s="1"/>
  <c r="DI167" i="1"/>
  <c r="DI158" i="1"/>
  <c r="DI168" i="1"/>
  <c r="DI147" i="1"/>
  <c r="DI130" i="1"/>
  <c r="DI102" i="1"/>
  <c r="DI144" i="1"/>
  <c r="DI124" i="1"/>
  <c r="DL136" i="1"/>
  <c r="DS136" i="1"/>
  <c r="DT136" i="1" s="1"/>
  <c r="DL191" i="1"/>
  <c r="DS191" i="1"/>
  <c r="DT191" i="1" s="1"/>
  <c r="DS190" i="1"/>
  <c r="DL190" i="1"/>
  <c r="DL189" i="1"/>
  <c r="DS189" i="1"/>
  <c r="DL188" i="1"/>
  <c r="DS188" i="1"/>
  <c r="DT188" i="1" s="1"/>
  <c r="DS187" i="1"/>
  <c r="DT187" i="1" s="1"/>
  <c r="DL186" i="1"/>
  <c r="DS186" i="1"/>
  <c r="DT186" i="1" s="1"/>
  <c r="DS185" i="1"/>
  <c r="DT185" i="1" s="1"/>
  <c r="DL185" i="1"/>
  <c r="AS202" i="1" s="1"/>
  <c r="AW202" i="1" s="1"/>
  <c r="DL184" i="1"/>
  <c r="AS203" i="1" s="1"/>
  <c r="AW203" i="1" s="1"/>
  <c r="DS184" i="1"/>
  <c r="DT184" i="1" s="1"/>
  <c r="DS183" i="1"/>
  <c r="DT183" i="1" s="1"/>
  <c r="DL183" i="1"/>
  <c r="DS182" i="1"/>
  <c r="DT182" i="1" s="1"/>
  <c r="DL182" i="1"/>
  <c r="DL181" i="1"/>
  <c r="DS181" i="1"/>
  <c r="DT181" i="1" s="1"/>
  <c r="DS179" i="1"/>
  <c r="DT179" i="1" s="1"/>
  <c r="DL179" i="1"/>
  <c r="AS204" i="1" s="1"/>
  <c r="AW204" i="1" s="1"/>
  <c r="DS177" i="1"/>
  <c r="DT177" i="1" s="1"/>
  <c r="DL177" i="1"/>
  <c r="AS219" i="1" s="1"/>
  <c r="AW219" i="1" s="1"/>
  <c r="DS176" i="1"/>
  <c r="DT176" i="1" s="1"/>
  <c r="DL176" i="1"/>
  <c r="DL175" i="1"/>
  <c r="DS175" i="1"/>
  <c r="DT175" i="1" s="1"/>
  <c r="DS173" i="1"/>
  <c r="DT173" i="1" s="1"/>
  <c r="DL173" i="1"/>
  <c r="DL172" i="1"/>
  <c r="DS172" i="1"/>
  <c r="DT172" i="1" s="1"/>
  <c r="DS171" i="1"/>
  <c r="DT171" i="1" s="1"/>
  <c r="DL171" i="1"/>
  <c r="DL170" i="1"/>
  <c r="DS170" i="1"/>
  <c r="DS169" i="1"/>
  <c r="DL169" i="1"/>
  <c r="DS168" i="1"/>
  <c r="DT168" i="1" s="1"/>
  <c r="DL168" i="1"/>
  <c r="DS167" i="1"/>
  <c r="DT167" i="1" s="1"/>
  <c r="DL167" i="1"/>
  <c r="DL166" i="1"/>
  <c r="DS166" i="1"/>
  <c r="DT166" i="1" s="1"/>
  <c r="DL165" i="1"/>
  <c r="DS165" i="1"/>
  <c r="DT165" i="1" s="1"/>
  <c r="DS164" i="1"/>
  <c r="DT164" i="1" s="1"/>
  <c r="DL164" i="1"/>
  <c r="DS163" i="1"/>
  <c r="DT163" i="1" s="1"/>
  <c r="DL163" i="1"/>
  <c r="DL162" i="1"/>
  <c r="DS162" i="1"/>
  <c r="DT162" i="1" s="1"/>
  <c r="DS161" i="1"/>
  <c r="DT161" i="1" s="1"/>
  <c r="DL161" i="1"/>
  <c r="DL160" i="1"/>
  <c r="DS160" i="1"/>
  <c r="DT160" i="1" s="1"/>
  <c r="DS159" i="1"/>
  <c r="DT159" i="1" s="1"/>
  <c r="DL159" i="1"/>
  <c r="DS158" i="1"/>
  <c r="DT158" i="1" s="1"/>
  <c r="DL158" i="1"/>
  <c r="DS157" i="1"/>
  <c r="DT157" i="1" s="1"/>
  <c r="DL157" i="1"/>
  <c r="DS156" i="1"/>
  <c r="DT156" i="1" s="1"/>
  <c r="DL156" i="1"/>
  <c r="DL155" i="1"/>
  <c r="DS155" i="1"/>
  <c r="DT155" i="1" s="1"/>
  <c r="DL154" i="1"/>
  <c r="DS154" i="1"/>
  <c r="DL153" i="1"/>
  <c r="DS153" i="1"/>
  <c r="DS152" i="1"/>
  <c r="DT152" i="1" s="1"/>
  <c r="DL152" i="1"/>
  <c r="DS151" i="1"/>
  <c r="DL151" i="1"/>
  <c r="DS150" i="1"/>
  <c r="DT150" i="1" s="1"/>
  <c r="DL150" i="1"/>
  <c r="DL149" i="1"/>
  <c r="DS149" i="1"/>
  <c r="DT149" i="1" s="1"/>
  <c r="DS148" i="1"/>
  <c r="DT148" i="1" s="1"/>
  <c r="DL148" i="1"/>
  <c r="DL147" i="1"/>
  <c r="DS147" i="1"/>
  <c r="DT147" i="1" s="1"/>
  <c r="DS146" i="1"/>
  <c r="DT146" i="1" s="1"/>
  <c r="DL146" i="1"/>
  <c r="DL145" i="1"/>
  <c r="DS145" i="1"/>
  <c r="DT145" i="1" s="1"/>
  <c r="DL144" i="1"/>
  <c r="DS144" i="1"/>
  <c r="DT144" i="1" s="1"/>
  <c r="DS143" i="1"/>
  <c r="DT143" i="1" s="1"/>
  <c r="DL143" i="1"/>
  <c r="DS142" i="1"/>
  <c r="DT142" i="1" s="1"/>
  <c r="DL142" i="1"/>
  <c r="DL141" i="1"/>
  <c r="DS141" i="1"/>
  <c r="DT141" i="1" s="1"/>
  <c r="DL140" i="1"/>
  <c r="AS201" i="1" s="1"/>
  <c r="DS140" i="1"/>
  <c r="DT140" i="1" s="1"/>
  <c r="DL139" i="1"/>
  <c r="AS218" i="1" s="1"/>
  <c r="AW218" i="1" s="1"/>
  <c r="DS139" i="1"/>
  <c r="DT139" i="1" s="1"/>
  <c r="DS138" i="1"/>
  <c r="DT138" i="1" s="1"/>
  <c r="DL138" i="1"/>
  <c r="AS198" i="1" s="1"/>
  <c r="AW198" i="1" s="1"/>
  <c r="DL137" i="1"/>
  <c r="AS199" i="1" s="1"/>
  <c r="AW199" i="1" s="1"/>
  <c r="DS137" i="1"/>
  <c r="DT137" i="1" s="1"/>
  <c r="DS135" i="1"/>
  <c r="DT135" i="1" s="1"/>
  <c r="DL135" i="1"/>
  <c r="AS215" i="1" s="1"/>
  <c r="AW215" i="1" s="1"/>
  <c r="DS134" i="1"/>
  <c r="DT134" i="1" s="1"/>
  <c r="DL134" i="1"/>
  <c r="AS214" i="1" s="1"/>
  <c r="AW214" i="1" s="1"/>
  <c r="DS131" i="1"/>
  <c r="DT131" i="1" s="1"/>
  <c r="DL131" i="1"/>
  <c r="AS211" i="1" s="1"/>
  <c r="AW211" i="1" s="1"/>
  <c r="DS130" i="1"/>
  <c r="DT130" i="1" s="1"/>
  <c r="DL130" i="1"/>
  <c r="AS210" i="1" s="1"/>
  <c r="AW210" i="1" s="1"/>
  <c r="DS129" i="1"/>
  <c r="DL129" i="1"/>
  <c r="AS213" i="1" s="1"/>
  <c r="DL128" i="1"/>
  <c r="AS212" i="1" s="1"/>
  <c r="DS128" i="1"/>
  <c r="DS127" i="1"/>
  <c r="DT127" i="1" s="1"/>
  <c r="DL127" i="1"/>
  <c r="AS209" i="1" s="1"/>
  <c r="AW209" i="1" s="1"/>
  <c r="DL126" i="1"/>
  <c r="DS126" i="1"/>
  <c r="DT126" i="1" s="1"/>
  <c r="DL125" i="1"/>
  <c r="AS200" i="1" s="1"/>
  <c r="AW200" i="1" s="1"/>
  <c r="DS125" i="1"/>
  <c r="DT125" i="1" s="1"/>
  <c r="DL124" i="1"/>
  <c r="AS195" i="1" s="1"/>
  <c r="AW195" i="1" s="1"/>
  <c r="DS124" i="1"/>
  <c r="DT124" i="1" s="1"/>
  <c r="DL123" i="1"/>
  <c r="AS196" i="1" s="1"/>
  <c r="AW196" i="1" s="1"/>
  <c r="DS123" i="1"/>
  <c r="DT123" i="1" s="1"/>
  <c r="DL122" i="1"/>
  <c r="AS207" i="1" s="1"/>
  <c r="AW207" i="1" s="1"/>
  <c r="DS122" i="1"/>
  <c r="DT122" i="1" s="1"/>
  <c r="DS121" i="1"/>
  <c r="DL121" i="1"/>
  <c r="DS120" i="1"/>
  <c r="DL120" i="1"/>
  <c r="DL119" i="1"/>
  <c r="F230" i="1" s="1"/>
  <c r="J230" i="1" s="1"/>
  <c r="DS119" i="1"/>
  <c r="DS118" i="1"/>
  <c r="DL118" i="1"/>
  <c r="F231" i="1" s="1"/>
  <c r="J231" i="1" s="1"/>
  <c r="DS115" i="1"/>
  <c r="DT115" i="1" s="1"/>
  <c r="DL115" i="1"/>
  <c r="DS113" i="1"/>
  <c r="DL113" i="1"/>
  <c r="DS112" i="1"/>
  <c r="DL112" i="1"/>
  <c r="DL111" i="1"/>
  <c r="DS111" i="1"/>
  <c r="DT111" i="1" s="1"/>
  <c r="DS110" i="1"/>
  <c r="DT110" i="1" s="1"/>
  <c r="DL110" i="1"/>
  <c r="DL109" i="1"/>
  <c r="DS109" i="1"/>
  <c r="DS108" i="1"/>
  <c r="DL108" i="1"/>
  <c r="DS107" i="1"/>
  <c r="DT107" i="1" s="1"/>
  <c r="DL107" i="1"/>
  <c r="DL106" i="1"/>
  <c r="DS106" i="1"/>
  <c r="DL105" i="1"/>
  <c r="DS105" i="1"/>
  <c r="DL104" i="1"/>
  <c r="DS104" i="1"/>
  <c r="DS103" i="1"/>
  <c r="DL103" i="1"/>
  <c r="DS102" i="1"/>
  <c r="DT102" i="1" s="1"/>
  <c r="DL102" i="1"/>
  <c r="DS101" i="1"/>
  <c r="DT101" i="1" s="1"/>
  <c r="DL101" i="1"/>
  <c r="DL100" i="1"/>
  <c r="DS100" i="1"/>
  <c r="DS99" i="1"/>
  <c r="DL99" i="1"/>
  <c r="DS98" i="1"/>
  <c r="DL98" i="1"/>
  <c r="DS97" i="1"/>
  <c r="DL97" i="1"/>
  <c r="DS96" i="1"/>
  <c r="DL96" i="1"/>
  <c r="DS95" i="1"/>
  <c r="DL95" i="1"/>
  <c r="DS94" i="1"/>
  <c r="DL94" i="1"/>
  <c r="DL93" i="1"/>
  <c r="DS93" i="1"/>
  <c r="DL90" i="1"/>
  <c r="DS90" i="1"/>
  <c r="DT90" i="1" s="1"/>
  <c r="DL89" i="1"/>
  <c r="DS89" i="1"/>
  <c r="DT89" i="1" s="1"/>
  <c r="DL87" i="1"/>
  <c r="DS87" i="1"/>
  <c r="DT87" i="1" s="1"/>
  <c r="DS86" i="1"/>
  <c r="DT86" i="1" s="1"/>
  <c r="DL86" i="1"/>
  <c r="DS85" i="1"/>
  <c r="DT85" i="1" s="1"/>
  <c r="DL85" i="1"/>
  <c r="DL84" i="1"/>
  <c r="DS84" i="1"/>
  <c r="DT84" i="1" s="1"/>
  <c r="DS83" i="1"/>
  <c r="DL83" i="1"/>
  <c r="DS80" i="1"/>
  <c r="DT80" i="1" s="1"/>
  <c r="DL80" i="1"/>
  <c r="DL79" i="1"/>
  <c r="DS79" i="1"/>
  <c r="DT79" i="1" s="1"/>
  <c r="DS78" i="1"/>
  <c r="DT78" i="1" s="1"/>
  <c r="DL78" i="1"/>
  <c r="DL77" i="1"/>
  <c r="DS77" i="1"/>
  <c r="DT77" i="1" s="1"/>
  <c r="DS76" i="1"/>
  <c r="DL76" i="1"/>
  <c r="DS75" i="1"/>
  <c r="DT75" i="1" s="1"/>
  <c r="DL75" i="1"/>
  <c r="DR74" i="1"/>
  <c r="DS74" i="1"/>
  <c r="DT74" i="1" s="1"/>
  <c r="DL73" i="1"/>
  <c r="DS73" i="1"/>
  <c r="DT73" i="1" s="1"/>
  <c r="DL72" i="1"/>
  <c r="DS72" i="1"/>
  <c r="DT72" i="1" s="1"/>
  <c r="DS71" i="1"/>
  <c r="DL70" i="1"/>
  <c r="AS206" i="1" s="1"/>
  <c r="DS70" i="1"/>
  <c r="DS69" i="1"/>
  <c r="DL69" i="1"/>
  <c r="DL68" i="1"/>
  <c r="DS68" i="1"/>
  <c r="DL67" i="1"/>
  <c r="DS67" i="1"/>
  <c r="DL66" i="1"/>
  <c r="DS66" i="1"/>
  <c r="DS65" i="1"/>
  <c r="DT65" i="1" s="1"/>
  <c r="DL65" i="1"/>
  <c r="DL64" i="1"/>
  <c r="DS64" i="1"/>
  <c r="DT64" i="1" s="1"/>
  <c r="DS63" i="1"/>
  <c r="DT63" i="1" s="1"/>
  <c r="DL63" i="1"/>
  <c r="DL62" i="1"/>
  <c r="DS62" i="1"/>
  <c r="DT62" i="1" s="1"/>
  <c r="DL61" i="1"/>
  <c r="DS61" i="1"/>
  <c r="DT61" i="1" s="1"/>
  <c r="DS60" i="1"/>
  <c r="DT60" i="1" s="1"/>
  <c r="DL60" i="1"/>
  <c r="DS59" i="1"/>
  <c r="DT59" i="1" s="1"/>
  <c r="DL59" i="1"/>
  <c r="DL57" i="1"/>
  <c r="DS57" i="1"/>
  <c r="DT57" i="1" s="1"/>
  <c r="DL56" i="1"/>
  <c r="DS56" i="1"/>
  <c r="DT56" i="1" s="1"/>
  <c r="DL55" i="1"/>
  <c r="DS55" i="1"/>
  <c r="DT55" i="1" s="1"/>
  <c r="DS54" i="1"/>
  <c r="DL54" i="1"/>
  <c r="DL53" i="1"/>
  <c r="DS53" i="1"/>
  <c r="DS52" i="1"/>
  <c r="DL52" i="1"/>
  <c r="DL51" i="1"/>
  <c r="DS51" i="1"/>
  <c r="DS50" i="1"/>
  <c r="DT50" i="1" s="1"/>
  <c r="DL50" i="1"/>
  <c r="DL49" i="1"/>
  <c r="DS49" i="1"/>
  <c r="DT49" i="1" s="1"/>
  <c r="DL48" i="1"/>
  <c r="DS48" i="1"/>
  <c r="DT48" i="1" s="1"/>
  <c r="DL47" i="1"/>
  <c r="DS47" i="1"/>
  <c r="DT47" i="1" s="1"/>
  <c r="DS46" i="1"/>
  <c r="DT46" i="1" s="1"/>
  <c r="DL46" i="1"/>
  <c r="DS45" i="1"/>
  <c r="DT45" i="1" s="1"/>
  <c r="DL45" i="1"/>
  <c r="DS44" i="1"/>
  <c r="DT44" i="1" s="1"/>
  <c r="DL44" i="1"/>
  <c r="DL42" i="1"/>
  <c r="DS42" i="1"/>
  <c r="DT42" i="1" s="1"/>
  <c r="DS41" i="1"/>
  <c r="DT41" i="1" s="1"/>
  <c r="DL41" i="1"/>
  <c r="DS39" i="1"/>
  <c r="DT39" i="1" s="1"/>
  <c r="DL39" i="1"/>
  <c r="DS38" i="1"/>
  <c r="DT38" i="1" s="1"/>
  <c r="DL38" i="1"/>
  <c r="DL37" i="1"/>
  <c r="DS37" i="1"/>
  <c r="DT37" i="1" s="1"/>
  <c r="DL36" i="1"/>
  <c r="DS36" i="1"/>
  <c r="DT36" i="1" s="1"/>
  <c r="DL35" i="1"/>
  <c r="DS35" i="1"/>
  <c r="DT35" i="1" s="1"/>
  <c r="DL34" i="1"/>
  <c r="DS34" i="1"/>
  <c r="DT34" i="1" s="1"/>
  <c r="DL33" i="1"/>
  <c r="DS33" i="1"/>
  <c r="DL32" i="1"/>
  <c r="DS32" i="1"/>
  <c r="DS31" i="1"/>
  <c r="DL31" i="1"/>
  <c r="DL30" i="1"/>
  <c r="DS30" i="1"/>
  <c r="DT30" i="1" s="1"/>
  <c r="DS29" i="1"/>
  <c r="DT29" i="1" s="1"/>
  <c r="DL29" i="1"/>
  <c r="DS28" i="1"/>
  <c r="DT28" i="1" s="1"/>
  <c r="DL28" i="1"/>
  <c r="DS27" i="1"/>
  <c r="DT27" i="1" s="1"/>
  <c r="DL27" i="1"/>
  <c r="DS26" i="1"/>
  <c r="DT26" i="1" s="1"/>
  <c r="DL26" i="1"/>
  <c r="DL25" i="1"/>
  <c r="DS25" i="1"/>
  <c r="DT25" i="1" s="1"/>
  <c r="DL24" i="1"/>
  <c r="DS24" i="1"/>
  <c r="DL23" i="1"/>
  <c r="DS23" i="1"/>
  <c r="DS22" i="1"/>
  <c r="DL22" i="1"/>
  <c r="DS21" i="1"/>
  <c r="DL21" i="1"/>
  <c r="DL20" i="1"/>
  <c r="DS20" i="1"/>
  <c r="DT20" i="1" s="1"/>
  <c r="DL18" i="1"/>
  <c r="DS18" i="1"/>
  <c r="DT18" i="1" s="1"/>
  <c r="DL17" i="1"/>
  <c r="DS17" i="1"/>
  <c r="DT17" i="1" s="1"/>
  <c r="DL16" i="1"/>
  <c r="DS16" i="1"/>
  <c r="DL15" i="1"/>
  <c r="DS15" i="1"/>
  <c r="DT15" i="1" s="1"/>
  <c r="DS13" i="1"/>
  <c r="DL13" i="1"/>
  <c r="DS12" i="1"/>
  <c r="DT12" i="1" s="1"/>
  <c r="DL12" i="1"/>
  <c r="DL11" i="1"/>
  <c r="F218" i="1" s="1"/>
  <c r="J218" i="1" s="1"/>
  <c r="DS11" i="1"/>
  <c r="DS10" i="1"/>
  <c r="DT10" i="1" s="1"/>
  <c r="DL10" i="1"/>
  <c r="DS9" i="1"/>
  <c r="DL9" i="1"/>
  <c r="DL8" i="1"/>
  <c r="DS8" i="1"/>
  <c r="DT8" i="1" s="1"/>
  <c r="DS7" i="1"/>
  <c r="DT7" i="1" s="1"/>
  <c r="DL7" i="1"/>
  <c r="AS197" i="1"/>
  <c r="DS6" i="1"/>
  <c r="DS5" i="1"/>
  <c r="DT5" i="1" s="1"/>
  <c r="DL5" i="1"/>
  <c r="J238" i="1" l="1"/>
  <c r="J236" i="1"/>
  <c r="J220" i="1"/>
  <c r="J202" i="1"/>
  <c r="J197" i="1"/>
  <c r="J195" i="1"/>
  <c r="J275" i="1"/>
  <c r="AW213" i="1"/>
  <c r="AS133" i="1"/>
  <c r="AS116" i="1"/>
  <c r="J246" i="1"/>
  <c r="J212" i="1"/>
  <c r="J200" i="1"/>
  <c r="J211" i="1"/>
  <c r="J254" i="1"/>
  <c r="AW212" i="1"/>
  <c r="J239" i="1"/>
  <c r="J262" i="1"/>
  <c r="AW205" i="1"/>
  <c r="J221" i="1"/>
  <c r="J240" i="1"/>
  <c r="J267" i="1"/>
  <c r="AW206" i="1"/>
  <c r="AW197" i="1"/>
  <c r="J255" i="1"/>
  <c r="J277" i="1"/>
  <c r="J222" i="1"/>
  <c r="J241" i="1"/>
  <c r="J237" i="1"/>
  <c r="J243" i="1"/>
  <c r="J244" i="1"/>
  <c r="J203" i="1"/>
  <c r="J245" i="1"/>
  <c r="J196" i="1"/>
  <c r="J225" i="1"/>
  <c r="J227" i="1"/>
  <c r="J210" i="1"/>
  <c r="J217" i="1"/>
  <c r="J209" i="1"/>
  <c r="J199" i="1"/>
  <c r="J261" i="1"/>
  <c r="J271" i="1"/>
  <c r="AS174" i="1"/>
  <c r="DJ77" i="1"/>
  <c r="AQ77" i="1" s="1"/>
  <c r="DJ75" i="1"/>
  <c r="AQ75" i="1" s="1"/>
  <c r="DJ122" i="1"/>
  <c r="AQ122" i="1" s="1"/>
  <c r="DJ121" i="1"/>
  <c r="AQ121" i="1" s="1"/>
  <c r="DJ11" i="1"/>
  <c r="AQ11" i="1" s="1"/>
  <c r="DJ23" i="1"/>
  <c r="AQ23" i="1" s="1"/>
  <c r="DJ139" i="1"/>
  <c r="AQ139" i="1" s="1"/>
  <c r="DJ60" i="1"/>
  <c r="AQ60" i="1" s="1"/>
  <c r="DJ29" i="1"/>
  <c r="AQ29" i="1" s="1"/>
  <c r="DJ138" i="1"/>
  <c r="AQ138" i="1" s="1"/>
  <c r="DJ106" i="1"/>
  <c r="AQ106" i="1" s="1"/>
  <c r="DJ118" i="1"/>
  <c r="AQ118" i="1" s="1"/>
  <c r="DJ137" i="1"/>
  <c r="AQ137" i="1" s="1"/>
  <c r="AS109" i="1"/>
  <c r="D225" i="1" s="1"/>
  <c r="AS108" i="1"/>
  <c r="D224" i="1" s="1"/>
  <c r="DJ64" i="1"/>
  <c r="AQ64" i="1" s="1"/>
  <c r="DJ61" i="1"/>
  <c r="AQ61" i="1" s="1"/>
  <c r="DJ55" i="1"/>
  <c r="AQ55" i="1" s="1"/>
  <c r="DJ54" i="1"/>
  <c r="AQ54" i="1" s="1"/>
  <c r="DJ25" i="1"/>
  <c r="AQ25" i="1" s="1"/>
  <c r="DJ16" i="1"/>
  <c r="AQ16" i="1" s="1"/>
  <c r="DJ56" i="1"/>
  <c r="AQ56" i="1" s="1"/>
  <c r="DJ79" i="1"/>
  <c r="AQ79" i="1" s="1"/>
  <c r="DJ107" i="1"/>
  <c r="AQ107" i="1" s="1"/>
  <c r="DJ110" i="1"/>
  <c r="AQ110" i="1" s="1"/>
  <c r="DJ67" i="1"/>
  <c r="AQ67" i="1" s="1"/>
  <c r="DJ13" i="1"/>
  <c r="AQ13" i="1" s="1"/>
  <c r="DJ65" i="1"/>
  <c r="AQ65" i="1" s="1"/>
  <c r="DJ10" i="1"/>
  <c r="AQ10" i="1" s="1"/>
  <c r="DJ20" i="1"/>
  <c r="AQ20" i="1" s="1"/>
  <c r="DJ83" i="1"/>
  <c r="AQ83" i="1" s="1"/>
  <c r="AS164" i="1"/>
  <c r="DJ53" i="1"/>
  <c r="AQ53" i="1" s="1"/>
  <c r="DJ69" i="1"/>
  <c r="AQ69" i="1" s="1"/>
  <c r="DJ85" i="1"/>
  <c r="AQ85" i="1" s="1"/>
  <c r="DJ95" i="1"/>
  <c r="AQ95" i="1" s="1"/>
  <c r="DJ21" i="1"/>
  <c r="AQ21" i="1" s="1"/>
  <c r="DJ66" i="1"/>
  <c r="AQ66" i="1" s="1"/>
  <c r="AQ136" i="1"/>
  <c r="DJ73" i="1"/>
  <c r="AQ73" i="1" s="1"/>
  <c r="DJ59" i="1"/>
  <c r="AQ59" i="1" s="1"/>
  <c r="DJ150" i="1"/>
  <c r="AQ150" i="1" s="1"/>
  <c r="AQ133" i="1"/>
  <c r="DJ146" i="1"/>
  <c r="AQ146" i="1" s="1"/>
  <c r="DJ156" i="1"/>
  <c r="AQ156" i="1" s="1"/>
  <c r="DJ160" i="1"/>
  <c r="AQ160" i="1" s="1"/>
  <c r="DJ9" i="1"/>
  <c r="AQ9" i="1" s="1"/>
  <c r="DJ189" i="1"/>
  <c r="AQ189" i="1" s="1"/>
  <c r="DJ5" i="1"/>
  <c r="AQ5" i="1" s="1"/>
  <c r="DJ44" i="1"/>
  <c r="AQ44" i="1" s="1"/>
  <c r="DJ191" i="1"/>
  <c r="AQ191" i="1" s="1"/>
  <c r="DT153" i="1"/>
  <c r="DJ47" i="1"/>
  <c r="AQ47" i="1" s="1"/>
  <c r="DJ99" i="1"/>
  <c r="AQ99" i="1" s="1"/>
  <c r="DJ166" i="1"/>
  <c r="AQ166" i="1" s="1"/>
  <c r="AS120" i="1"/>
  <c r="D232" i="1" s="1"/>
  <c r="DJ120" i="1"/>
  <c r="AQ120" i="1" s="1"/>
  <c r="AS68" i="1"/>
  <c r="D222" i="1" s="1"/>
  <c r="DJ68" i="1"/>
  <c r="AQ68" i="1" s="1"/>
  <c r="AS178" i="1"/>
  <c r="D276" i="1" s="1"/>
  <c r="AQ178" i="1"/>
  <c r="AS41" i="1"/>
  <c r="DJ41" i="1"/>
  <c r="AQ41" i="1" s="1"/>
  <c r="AS180" i="1"/>
  <c r="D277" i="1" s="1"/>
  <c r="DJ180" i="1"/>
  <c r="AQ180" i="1" s="1"/>
  <c r="DT169" i="1"/>
  <c r="AS50" i="1"/>
  <c r="DJ50" i="1"/>
  <c r="AQ50" i="1" s="1"/>
  <c r="AS28" i="1"/>
  <c r="DJ28" i="1"/>
  <c r="AQ28" i="1" s="1"/>
  <c r="AS26" i="1"/>
  <c r="DJ26" i="1"/>
  <c r="AQ26" i="1" s="1"/>
  <c r="AS190" i="1"/>
  <c r="D272" i="1" s="1"/>
  <c r="DJ190" i="1"/>
  <c r="AQ190" i="1" s="1"/>
  <c r="AS188" i="1"/>
  <c r="DJ188" i="1"/>
  <c r="AQ188" i="1" s="1"/>
  <c r="AS49" i="1"/>
  <c r="DJ49" i="1"/>
  <c r="AQ49" i="1" s="1"/>
  <c r="AS162" i="1"/>
  <c r="DJ162" i="1"/>
  <c r="AQ162" i="1" s="1"/>
  <c r="AS6" i="1"/>
  <c r="D217" i="1" s="1"/>
  <c r="DJ6" i="1"/>
  <c r="AQ6" i="1" s="1"/>
  <c r="AS126" i="1"/>
  <c r="DJ126" i="1"/>
  <c r="AQ126" i="1" s="1"/>
  <c r="AS80" i="1"/>
  <c r="DJ80" i="1"/>
  <c r="AQ80" i="1" s="1"/>
  <c r="AS36" i="1"/>
  <c r="DJ36" i="1"/>
  <c r="AQ36" i="1" s="1"/>
  <c r="AS105" i="1"/>
  <c r="D197" i="1" s="1"/>
  <c r="DJ105" i="1"/>
  <c r="AQ105" i="1" s="1"/>
  <c r="AS70" i="1"/>
  <c r="D264" i="1" s="1"/>
  <c r="DJ70" i="1"/>
  <c r="AQ70" i="1" s="1"/>
  <c r="AS163" i="1"/>
  <c r="DJ163" i="1"/>
  <c r="AQ163" i="1" s="1"/>
  <c r="AS165" i="1"/>
  <c r="AQ165" i="1"/>
  <c r="AS42" i="1"/>
  <c r="DJ42" i="1"/>
  <c r="AQ42" i="1" s="1"/>
  <c r="AS30" i="1"/>
  <c r="DJ30" i="1"/>
  <c r="AQ30" i="1" s="1"/>
  <c r="AS35" i="1"/>
  <c r="DJ35" i="1"/>
  <c r="AQ35" i="1" s="1"/>
  <c r="AS157" i="1"/>
  <c r="DJ157" i="1"/>
  <c r="AQ157" i="1" s="1"/>
  <c r="AS98" i="1"/>
  <c r="D244" i="1" s="1"/>
  <c r="DJ98" i="1"/>
  <c r="AQ98" i="1" s="1"/>
  <c r="AS119" i="1"/>
  <c r="D230" i="1" s="1"/>
  <c r="DJ119" i="1"/>
  <c r="AQ119" i="1" s="1"/>
  <c r="AS17" i="1"/>
  <c r="DJ17" i="1"/>
  <c r="AQ17" i="1" s="1"/>
  <c r="AS62" i="1"/>
  <c r="DJ62" i="1"/>
  <c r="AQ62" i="1" s="1"/>
  <c r="AS113" i="1"/>
  <c r="D227" i="1" s="1"/>
  <c r="AQ113" i="1"/>
  <c r="AS131" i="1"/>
  <c r="DJ131" i="1"/>
  <c r="AQ131" i="1" s="1"/>
  <c r="AS143" i="1"/>
  <c r="AQ143" i="1"/>
  <c r="AS140" i="1"/>
  <c r="DJ140" i="1"/>
  <c r="AQ140" i="1" s="1"/>
  <c r="AS18" i="1"/>
  <c r="DJ18" i="1"/>
  <c r="AQ18" i="1" s="1"/>
  <c r="AS38" i="1"/>
  <c r="DJ38" i="1"/>
  <c r="AQ38" i="1" s="1"/>
  <c r="AS128" i="1"/>
  <c r="DJ128" i="1"/>
  <c r="AQ128" i="1" s="1"/>
  <c r="AS132" i="1"/>
  <c r="AQ132" i="1"/>
  <c r="AS52" i="1"/>
  <c r="D211" i="1" s="1"/>
  <c r="DJ52" i="1"/>
  <c r="AQ52" i="1" s="1"/>
  <c r="AS63" i="1"/>
  <c r="DJ63" i="1"/>
  <c r="AQ63" i="1" s="1"/>
  <c r="AS159" i="1"/>
  <c r="DJ159" i="1"/>
  <c r="AQ159" i="1" s="1"/>
  <c r="AS89" i="1"/>
  <c r="DJ89" i="1"/>
  <c r="AQ89" i="1" s="1"/>
  <c r="AS27" i="1"/>
  <c r="DJ27" i="1"/>
  <c r="AQ27" i="1" s="1"/>
  <c r="AS187" i="1"/>
  <c r="D275" i="1" s="1"/>
  <c r="AS141" i="1"/>
  <c r="DJ141" i="1"/>
  <c r="AQ141" i="1" s="1"/>
  <c r="AS142" i="1"/>
  <c r="AQ142" i="1"/>
  <c r="AS97" i="1"/>
  <c r="D242" i="1" s="1"/>
  <c r="DJ97" i="1"/>
  <c r="AQ97" i="1" s="1"/>
  <c r="AS96" i="1"/>
  <c r="D243" i="1" s="1"/>
  <c r="DJ96" i="1"/>
  <c r="AQ96" i="1" s="1"/>
  <c r="AS134" i="1"/>
  <c r="DJ134" i="1"/>
  <c r="AQ134" i="1" s="1"/>
  <c r="AS51" i="1"/>
  <c r="D210" i="1" s="1"/>
  <c r="DJ51" i="1"/>
  <c r="AQ51" i="1" s="1"/>
  <c r="AS32" i="1"/>
  <c r="DJ31" i="1"/>
  <c r="AS161" i="1"/>
  <c r="DJ161" i="1"/>
  <c r="AQ161" i="1" s="1"/>
  <c r="AS71" i="1"/>
  <c r="D262" i="1" s="1"/>
  <c r="DJ71" i="1"/>
  <c r="AQ71" i="1" s="1"/>
  <c r="AS123" i="1"/>
  <c r="DJ123" i="1"/>
  <c r="AQ123" i="1" s="1"/>
  <c r="AS125" i="1"/>
  <c r="DJ125" i="1"/>
  <c r="AQ125" i="1" s="1"/>
  <c r="AS129" i="1"/>
  <c r="D268" i="1" s="1"/>
  <c r="DJ129" i="1"/>
  <c r="AQ129" i="1" s="1"/>
  <c r="AS145" i="1"/>
  <c r="DJ145" i="1"/>
  <c r="AQ145" i="1" s="1"/>
  <c r="AS148" i="1"/>
  <c r="DJ148" i="1"/>
  <c r="AQ148" i="1" s="1"/>
  <c r="AS149" i="1"/>
  <c r="DJ149" i="1"/>
  <c r="AQ149" i="1" s="1"/>
  <c r="AS115" i="1"/>
  <c r="DJ115" i="1"/>
  <c r="AQ115" i="1" s="1"/>
  <c r="AS112" i="1"/>
  <c r="D226" i="1" s="1"/>
  <c r="AQ112" i="1"/>
  <c r="AS100" i="1"/>
  <c r="D203" i="1" s="1"/>
  <c r="DJ100" i="1"/>
  <c r="AQ100" i="1" s="1"/>
  <c r="AS7" i="1"/>
  <c r="DJ7" i="1"/>
  <c r="AQ7" i="1" s="1"/>
  <c r="AS15" i="1"/>
  <c r="DJ15" i="1"/>
  <c r="AQ15" i="1" s="1"/>
  <c r="DJ12" i="1"/>
  <c r="AQ12" i="1" s="1"/>
  <c r="AS12" i="1"/>
  <c r="AS186" i="1"/>
  <c r="DJ186" i="1"/>
  <c r="AQ186" i="1" s="1"/>
  <c r="DJ152" i="1"/>
  <c r="AQ152" i="1" s="1"/>
  <c r="AS90" i="1"/>
  <c r="DJ90" i="1"/>
  <c r="AQ90" i="1" s="1"/>
  <c r="AS87" i="1"/>
  <c r="DJ87" i="1"/>
  <c r="AQ87" i="1" s="1"/>
  <c r="AS86" i="1"/>
  <c r="DJ86" i="1"/>
  <c r="AQ86" i="1" s="1"/>
  <c r="AS84" i="1"/>
  <c r="DJ84" i="1"/>
  <c r="AQ84" i="1" s="1"/>
  <c r="AS78" i="1"/>
  <c r="DJ78" i="1"/>
  <c r="AQ78" i="1" s="1"/>
  <c r="AS57" i="1"/>
  <c r="DJ57" i="1"/>
  <c r="AQ57" i="1" s="1"/>
  <c r="AS48" i="1"/>
  <c r="DJ48" i="1"/>
  <c r="AQ48" i="1" s="1"/>
  <c r="AS46" i="1"/>
  <c r="DJ46" i="1"/>
  <c r="AQ46" i="1" s="1"/>
  <c r="AS45" i="1"/>
  <c r="DJ45" i="1"/>
  <c r="AQ45" i="1" s="1"/>
  <c r="AS39" i="1"/>
  <c r="DJ39" i="1"/>
  <c r="AQ39" i="1" s="1"/>
  <c r="AS37" i="1"/>
  <c r="DJ37" i="1"/>
  <c r="AQ37" i="1" s="1"/>
  <c r="AS34" i="1"/>
  <c r="DJ34" i="1"/>
  <c r="AQ34" i="1" s="1"/>
  <c r="AS181" i="1"/>
  <c r="DJ181" i="1"/>
  <c r="AQ181" i="1" s="1"/>
  <c r="AS167" i="1"/>
  <c r="DJ167" i="1"/>
  <c r="AQ167" i="1" s="1"/>
  <c r="AS158" i="1"/>
  <c r="DJ158" i="1"/>
  <c r="AQ158" i="1" s="1"/>
  <c r="AS147" i="1"/>
  <c r="DJ147" i="1"/>
  <c r="AQ147" i="1" s="1"/>
  <c r="AS102" i="1"/>
  <c r="DJ102" i="1"/>
  <c r="AQ102" i="1" s="1"/>
  <c r="AS135" i="1"/>
  <c r="DJ135" i="1"/>
  <c r="AQ135" i="1" s="1"/>
  <c r="AS76" i="1"/>
  <c r="D241" i="1" s="1"/>
  <c r="DJ76" i="1"/>
  <c r="AQ76" i="1" s="1"/>
  <c r="AS74" i="1"/>
  <c r="DJ74" i="1"/>
  <c r="AQ74" i="1" s="1"/>
  <c r="AS72" i="1"/>
  <c r="DJ72" i="1"/>
  <c r="AQ72" i="1" s="1"/>
  <c r="AS185" i="1"/>
  <c r="DJ185" i="1"/>
  <c r="AQ185" i="1" s="1"/>
  <c r="AS184" i="1"/>
  <c r="DJ184" i="1"/>
  <c r="AQ184" i="1" s="1"/>
  <c r="AS183" i="1"/>
  <c r="DJ183" i="1"/>
  <c r="AQ183" i="1" s="1"/>
  <c r="AS182" i="1"/>
  <c r="DJ182" i="1"/>
  <c r="AQ182" i="1" s="1"/>
  <c r="AS179" i="1"/>
  <c r="DJ179" i="1"/>
  <c r="AQ179" i="1" s="1"/>
  <c r="AS177" i="1"/>
  <c r="DJ177" i="1"/>
  <c r="AQ177" i="1" s="1"/>
  <c r="AS176" i="1"/>
  <c r="DJ176" i="1"/>
  <c r="AQ176" i="1" s="1"/>
  <c r="AS175" i="1"/>
  <c r="DJ175" i="1"/>
  <c r="AQ175" i="1" s="1"/>
  <c r="AS173" i="1"/>
  <c r="DJ173" i="1"/>
  <c r="AQ173" i="1" s="1"/>
  <c r="DJ171" i="1"/>
  <c r="AQ171" i="1" s="1"/>
  <c r="DJ169" i="1"/>
  <c r="AQ169" i="1" s="1"/>
  <c r="AS155" i="1"/>
  <c r="DJ155" i="1"/>
  <c r="AQ155" i="1" s="1"/>
  <c r="AS154" i="1"/>
  <c r="DJ153" i="1"/>
  <c r="AQ153" i="1" s="1"/>
  <c r="AS130" i="1"/>
  <c r="DJ130" i="1"/>
  <c r="AQ130" i="1" s="1"/>
  <c r="AS172" i="1"/>
  <c r="DJ172" i="1"/>
  <c r="AQ172" i="1" s="1"/>
  <c r="AS168" i="1"/>
  <c r="DJ168" i="1"/>
  <c r="AQ168" i="1" s="1"/>
  <c r="AS144" i="1"/>
  <c r="DJ144" i="1"/>
  <c r="AQ144" i="1" s="1"/>
  <c r="AS124" i="1"/>
  <c r="DJ124" i="1"/>
  <c r="AQ124" i="1" s="1"/>
  <c r="DJ127" i="1"/>
  <c r="AQ127" i="1" s="1"/>
  <c r="DJ101" i="1"/>
  <c r="AQ101" i="1" s="1"/>
  <c r="DJ104" i="1"/>
  <c r="AQ104" i="1" s="1"/>
  <c r="DJ103" i="1"/>
  <c r="AQ103" i="1" s="1"/>
  <c r="DJ94" i="1"/>
  <c r="AQ94" i="1" s="1"/>
  <c r="DJ93" i="1"/>
  <c r="AQ93" i="1" s="1"/>
  <c r="DJ108" i="1"/>
  <c r="AQ108" i="1" s="1"/>
  <c r="DT31" i="1"/>
  <c r="DT190" i="1"/>
  <c r="DT189" i="1"/>
  <c r="DT129" i="1"/>
  <c r="DT128" i="1"/>
  <c r="DT121" i="1"/>
  <c r="DT120" i="1"/>
  <c r="DT119" i="1"/>
  <c r="DT118" i="1"/>
  <c r="DT113" i="1"/>
  <c r="DT112" i="1"/>
  <c r="DT108" i="1"/>
  <c r="DT106" i="1"/>
  <c r="DT105" i="1"/>
  <c r="DT104" i="1"/>
  <c r="DT103" i="1"/>
  <c r="DT100" i="1"/>
  <c r="DT99" i="1"/>
  <c r="DT98" i="1"/>
  <c r="DT97" i="1"/>
  <c r="DT96" i="1"/>
  <c r="DT95" i="1"/>
  <c r="DT94" i="1"/>
  <c r="DT93" i="1"/>
  <c r="DT83" i="1"/>
  <c r="DT76" i="1"/>
  <c r="DT71" i="1"/>
  <c r="DT70" i="1"/>
  <c r="DT69" i="1"/>
  <c r="DT68" i="1"/>
  <c r="DT67" i="1"/>
  <c r="DT66" i="1"/>
  <c r="DT54" i="1"/>
  <c r="DT53" i="1"/>
  <c r="DT52" i="1"/>
  <c r="DT51" i="1"/>
  <c r="DT23" i="1"/>
  <c r="DT21" i="1"/>
  <c r="DT16" i="1"/>
  <c r="DT13" i="1"/>
  <c r="DT11" i="1"/>
  <c r="DT9" i="1"/>
  <c r="DT6" i="1"/>
  <c r="DJ8" i="1"/>
  <c r="AQ8" i="1" s="1"/>
</calcChain>
</file>

<file path=xl/sharedStrings.xml><?xml version="1.0" encoding="utf-8"?>
<sst xmlns="http://schemas.openxmlformats.org/spreadsheetml/2006/main" count="1252" uniqueCount="453">
  <si>
    <t>GUDANG UTAMA</t>
  </si>
  <si>
    <t>GUDANG TRANSIT</t>
  </si>
  <si>
    <r>
      <rPr>
        <sz val="16"/>
        <rFont val="Aptos Narrow"/>
      </rPr>
      <t>TOTAL WEEKLY (</t>
    </r>
    <r>
      <rPr>
        <sz val="16"/>
        <rFont val="Aptos Narrow"/>
      </rPr>
      <t>­</t>
    </r>
    <r>
      <rPr>
        <sz val="16"/>
        <rFont val="Aptos Narrow"/>
      </rPr>
      <t>)</t>
    </r>
  </si>
  <si>
    <t>TOTAL</t>
  </si>
  <si>
    <t>MONTHLY (-)</t>
  </si>
  <si>
    <t>NO</t>
  </si>
  <si>
    <t>NAMA BAHAN</t>
  </si>
  <si>
    <t>KET</t>
  </si>
  <si>
    <t>STOCK AWAL</t>
  </si>
  <si>
    <t>PENAMBAHAN</t>
  </si>
  <si>
    <t>PENGURANGAN ( TIDAK ADA RUMUS )</t>
  </si>
  <si>
    <t>RUMUS</t>
  </si>
  <si>
    <t>ADA RUMUS</t>
  </si>
  <si>
    <t>KESEL</t>
  </si>
  <si>
    <t>PENAMBAHAN ( ADA RUMUS )</t>
  </si>
  <si>
    <t>ORDERAN</t>
  </si>
  <si>
    <t>BARANG</t>
  </si>
  <si>
    <t>TDK RUMUS</t>
  </si>
  <si>
    <t>M 1</t>
  </si>
  <si>
    <t>M 2</t>
  </si>
  <si>
    <t>M3</t>
  </si>
  <si>
    <t>M4</t>
  </si>
  <si>
    <t>TOTAL ASLI</t>
  </si>
  <si>
    <t>TOTAL KON</t>
  </si>
  <si>
    <t xml:space="preserve"> RUMUS</t>
  </si>
  <si>
    <t>EXP DATE</t>
  </si>
  <si>
    <t>TOTAL M1</t>
  </si>
  <si>
    <t>TOTAL M2</t>
  </si>
  <si>
    <t>TOTAL M3</t>
  </si>
  <si>
    <t>TOTAL M4</t>
  </si>
  <si>
    <t xml:space="preserve">SUGAR SACHET </t>
  </si>
  <si>
    <t>LE MINERALE GALON (15LTR)</t>
  </si>
  <si>
    <t>WEEKLY</t>
  </si>
  <si>
    <t xml:space="preserve">USAGE </t>
  </si>
  <si>
    <t>POWDER COFFEE (120 GR)</t>
  </si>
  <si>
    <t>TEA BAG (50 PCS)</t>
  </si>
  <si>
    <t>TEA TONGJIE (100 PCS)</t>
  </si>
  <si>
    <t>JASMINE GREEN TEA (200 GR)</t>
  </si>
  <si>
    <t>15.07.30</t>
  </si>
  <si>
    <t>KO-TE-SU RTD (24 CAN)</t>
  </si>
  <si>
    <t>GOOD TIME (72 GR)</t>
  </si>
  <si>
    <t>CO2 (8000 GR)</t>
  </si>
  <si>
    <t>CREAM CHARGES</t>
  </si>
  <si>
    <t>LONGAN FRUIT CAN (565 GR)</t>
  </si>
  <si>
    <t>MILAC GOLD (1000 GR)</t>
  </si>
  <si>
    <t>ALOE VERA (2 KG)</t>
  </si>
  <si>
    <t>KONJAC (1000 GR)</t>
  </si>
  <si>
    <t>COCONUT CRISPY (500 GR)</t>
  </si>
  <si>
    <t>OREO COOKIES CRUMB (1 KG )</t>
  </si>
  <si>
    <t>CONDENSED MILK (488 GR)</t>
  </si>
  <si>
    <t>01.09.26</t>
  </si>
  <si>
    <t>CONDENSED MILK (365 GR)</t>
  </si>
  <si>
    <t>FRESH MILK (946 ML)</t>
  </si>
  <si>
    <t>OATSIDE MILK ( 1 LTR )</t>
  </si>
  <si>
    <t>NOBO ( 1 LTR )</t>
  </si>
  <si>
    <t>KANTOR</t>
  </si>
  <si>
    <t>SELASIH (100 GR)</t>
  </si>
  <si>
    <t>POWDER AVOCADO ( 500 GR )</t>
  </si>
  <si>
    <t>29.07.27</t>
  </si>
  <si>
    <t>TORABIKA CAPPUCINO (120 PCS/ DUS)</t>
  </si>
  <si>
    <t>MAX CRIMER ( 1 KG )</t>
  </si>
  <si>
    <t>JELLY NATURAL ( 180 GR )</t>
  </si>
  <si>
    <t>05.05.27</t>
  </si>
  <si>
    <t>KKW (28 GR)</t>
  </si>
  <si>
    <t>KKW ( 38 GR )</t>
  </si>
  <si>
    <t>KKW ( 140 GR )</t>
  </si>
  <si>
    <t>GRASS JELLY POWDER ( 1000 GR )</t>
  </si>
  <si>
    <t>MILO 3 IN 1 ( 990 GR )</t>
  </si>
  <si>
    <t>01.01.27</t>
  </si>
  <si>
    <t>CREAMY FOAM POWDER ( 1000 GR )</t>
  </si>
  <si>
    <t xml:space="preserve"> POWDER JASMINE TEA ( 1 KG )</t>
  </si>
  <si>
    <t>20.06.27</t>
  </si>
  <si>
    <t>POWDER MATCHA ( 1 KG )</t>
  </si>
  <si>
    <t>EARL GREY POWDER ( 1 KG )</t>
  </si>
  <si>
    <t>JAVA TEA PREMIX POWDER</t>
  </si>
  <si>
    <t>KUNYIT ASAM POWDER (300 GR)</t>
  </si>
  <si>
    <t>COCOA DRINK POWDER PREMIX (1 KG)</t>
  </si>
  <si>
    <t>19.09.26</t>
  </si>
  <si>
    <t xml:space="preserve">SYRUP KONSENTRAT LEMON </t>
  </si>
  <si>
    <t>SYRUP COKLAT DAVINCI ( 2 LTR )</t>
  </si>
  <si>
    <t>SYRUP COCONUT ( 1 LTR )</t>
  </si>
  <si>
    <t>SYRUP MONIN LYCHEE ( 1 LTR )</t>
  </si>
  <si>
    <t>SYRUP PANDAN ( 1 LTR )</t>
  </si>
  <si>
    <t>SYRUP PEACH (700 ML)</t>
  </si>
  <si>
    <t>09.10.28</t>
  </si>
  <si>
    <t>SYRUP SOFT DRINK COCA-COLA (10 LTR)</t>
  </si>
  <si>
    <t>SYRUP SOFT DRINK LEMON TEA (10 LTR)</t>
  </si>
  <si>
    <t>SYRUP SOFT DRINK SPRITE ( 10 LTR)</t>
  </si>
  <si>
    <t>SYRUP SOFT DRINK FANTA (10 LTR)</t>
  </si>
  <si>
    <t>SYRUP ABC LYCHEE (450 ML)</t>
  </si>
  <si>
    <t>SYRUP MARJAN VANILLA (460 ML)</t>
  </si>
  <si>
    <t>SYRUP BROWN SUGAR (1 LTR)</t>
  </si>
  <si>
    <t>COCA-COLA PET (250 ML)</t>
  </si>
  <si>
    <t>SYRUP DVG MANGO FRUIT MIX (1 LTR)</t>
  </si>
  <si>
    <t>SYRUP BLUE LAGOON (700 ML)</t>
  </si>
  <si>
    <t>SYRUP BANANA (700 ML)</t>
  </si>
  <si>
    <t>06.04.28</t>
  </si>
  <si>
    <t>SYRUP OSMANTUS  (760 GR)</t>
  </si>
  <si>
    <t>EXPIRED</t>
  </si>
  <si>
    <t>COCONUT WATER HIDRO COCO  (500ML)</t>
  </si>
  <si>
    <t>MINERAL WATER 600 ML (24 / DUS)</t>
  </si>
  <si>
    <t>SYRUP NIPIS MADU (330 ML)</t>
  </si>
  <si>
    <t>10.08.26</t>
  </si>
  <si>
    <t>THE PUCUK HARUM (350ML) LESS SUGAR</t>
  </si>
  <si>
    <t>GARAM DOLPHIN (500GR)</t>
  </si>
  <si>
    <t>USAGE</t>
  </si>
  <si>
    <t>GULA PASIR (1 KG)</t>
  </si>
  <si>
    <t>CROFFLE ORIGINAL MINI ( 6 PCS/PCK)</t>
  </si>
  <si>
    <t>CROFFLE ORIGINAL (4 PCS/ PCK)</t>
  </si>
  <si>
    <t>CROFFLE NUTELL (4 PCS/ PCK)</t>
  </si>
  <si>
    <t>CROFFLE NUTELLA  MINI ( 6 PCS/PCK)</t>
  </si>
  <si>
    <t>PRETZEL CREAM CHEESE ( 6 PCS /PCK)</t>
  </si>
  <si>
    <t>BUTTER POPCORN (3.790 ML)</t>
  </si>
  <si>
    <t>CHEESE NACHOS (3.970 GR)</t>
  </si>
  <si>
    <t>GARAM POPCORN (22.700 GR)</t>
  </si>
  <si>
    <t xml:space="preserve">HONEY/MADU </t>
  </si>
  <si>
    <t>JALAPENO</t>
  </si>
  <si>
    <t>MAYONASE (1 KG)</t>
  </si>
  <si>
    <t>MINYAK GORENG BEKU (15 KG)</t>
  </si>
  <si>
    <t>MINYAK POPCORN (23.300 ML)</t>
  </si>
  <si>
    <t>ORGANIC CRYSTAL COCONUT SUGAR (2,5 KG)</t>
  </si>
  <si>
    <t>28.10.26</t>
  </si>
  <si>
    <t>SAUCE CHILLI (6 KG)</t>
  </si>
  <si>
    <t>SAUCE TAR TAR (0,5 KG)</t>
  </si>
  <si>
    <t>SAUCE TOMAT (5,7 KG)</t>
  </si>
  <si>
    <t>SWEET GLAZE (13,5 KG/ DUS)</t>
  </si>
  <si>
    <t>SAUCE RUJAK CIRENG (0,5 KG)</t>
  </si>
  <si>
    <t>SAUCE BATAGOR (0,5 KG)</t>
  </si>
  <si>
    <t>FRENCH FRIES (2, 271 GR)</t>
  </si>
  <si>
    <t>MINI WONTON (500 GR )</t>
  </si>
  <si>
    <t xml:space="preserve">SOSIS VIENNA (40 PCS/KG) </t>
  </si>
  <si>
    <t>SOSIS JAGDWURST (9 PCS/KG)</t>
  </si>
  <si>
    <t>SOSIS FRANKFURTER (16 PCS/KG)</t>
  </si>
  <si>
    <t>MAC N CHEESE (1 KG)</t>
  </si>
  <si>
    <t>CIRENG (1 KG)</t>
  </si>
  <si>
    <t>BATAGOR (16 PCS)</t>
  </si>
  <si>
    <t>JAGUNG (22.680 GR)</t>
  </si>
  <si>
    <t>NACHOS CHIPS (200 GR/PCK)</t>
  </si>
  <si>
    <t>FISH N CHIPS (10 SINGLE/PCK)</t>
  </si>
  <si>
    <t>CHICKEN PATTY (1 KG)</t>
  </si>
  <si>
    <t>TEPUNG FISH (0,5 KG)</t>
  </si>
  <si>
    <t>TEPUNG MIX (0,5 KG)</t>
  </si>
  <si>
    <t>BULK CARAMEL (2,2 KG/PCK)</t>
  </si>
  <si>
    <t>POCKY CHOCOLATE (10PCS/PCK)</t>
  </si>
  <si>
    <t>POCKY COOKIES N CREAM (10PCS/PCK)</t>
  </si>
  <si>
    <t>POPCORN CARAMEL TO-GO (50 PCS/DUS)</t>
  </si>
  <si>
    <t>BULK BALADO POPCORN (1,8 KG/PCK)</t>
  </si>
  <si>
    <t>BENG-BENG REGULER (17 PCS/PCK)</t>
  </si>
  <si>
    <t>TANGO WAFEL (12 PCS/PCK)</t>
  </si>
  <si>
    <t>HELO PANDA (12 PCS/PCK)</t>
  </si>
  <si>
    <t>BULK CHOCOLATE POPCORN (2,4 KG/PCK)</t>
  </si>
  <si>
    <t>BULK TOFFEE NUT POPCORN (2,4 KG/PCK)</t>
  </si>
  <si>
    <t>AMOS FRUIT GUMMY PEACH (36 PCS/DUS)</t>
  </si>
  <si>
    <t>AMOS FRUIT GUMMY STRAWBERRY (36 PCS/DUS)</t>
  </si>
  <si>
    <t>KOALA MARCH CHOCOLATE BOX (6 PCS/TRAY)</t>
  </si>
  <si>
    <t>TONIC WATER (250 ML)</t>
  </si>
  <si>
    <t>COCKTAIL NAPKIN ( 1 PACK ISI 100 PCS )</t>
  </si>
  <si>
    <t>HAND GLOVES KARET ( 1 PACK ISI 100 PCS )</t>
  </si>
  <si>
    <t>KANTONG PLASTIK XXI BESAR (1 PCK ISI 200 PCS)</t>
  </si>
  <si>
    <t>KANTONG PLASTIK XXI KECIL (1 PCK ISI 200 PCS)</t>
  </si>
  <si>
    <t>KERTAS PRINT HVS (1 PCK ISI 10 ROLL)</t>
  </si>
  <si>
    <t>KERTAS PRINT REGISTER ROLL (1 PCK/10 ROLL)</t>
  </si>
  <si>
    <t>PLASTIK KLIP 20X35 (100 PCS)</t>
  </si>
  <si>
    <t>PLASTIK KLIP 30X40 (100 PCS)</t>
  </si>
  <si>
    <t>PLASTIK KLIP 7X10 (1000 PCS)</t>
  </si>
  <si>
    <t>PLASTIK KLIP 8X12 (1000 PCS)</t>
  </si>
  <si>
    <t>PLASTIK KUE 15X20 (1000 GR)</t>
  </si>
  <si>
    <t>KERTAS MINYAK XXI (100 PCS)</t>
  </si>
  <si>
    <t>SEDOTAN BUBLE BROWN (250 PCS / PCK)</t>
  </si>
  <si>
    <t>SEDOTAN COKLAT ENVELOPE (500 PCS/PCK)</t>
  </si>
  <si>
    <t>SAUCE CUP 35 ML (1 PACK ISI 50 PCS)</t>
  </si>
  <si>
    <t>SLEEVE PAPER HOT CUP 8/12 OZ XXI (25 PCS)</t>
  </si>
  <si>
    <t>SLEEVE CUP ICED (50 PCS)</t>
  </si>
  <si>
    <t>XXI BAG MEDIUM (50 PCS)</t>
  </si>
  <si>
    <t>XXI BAG LARGE (50 PCS)</t>
  </si>
  <si>
    <t>BAG POPCORN (50 PCS)</t>
  </si>
  <si>
    <t>BUCKET POPCORN (100 PCS)</t>
  </si>
  <si>
    <t>DUS POPCORN KIDS (50 PCS)</t>
  </si>
  <si>
    <t>DUS POPCORN SMALL (50 PCS)</t>
  </si>
  <si>
    <t>GELAS 12 OZ HOT CUP ( 25 PCS)</t>
  </si>
  <si>
    <t>GELAS 12 OZ PAPER XXI ( 50 PCS)</t>
  </si>
  <si>
    <t>GELAS 12 OZ PLASTIK CAPPUCINO (50 PCS)</t>
  </si>
  <si>
    <t>GELAS 12 OZ OVAL (50 PCS)</t>
  </si>
  <si>
    <t>GELAS 16 OZ PAPER XXI (50 PCS)</t>
  </si>
  <si>
    <t>GELAS 18 OZ PLASTIK CAPPUCINO (50 PCS)</t>
  </si>
  <si>
    <t>GELAS 16 OZ OVAL (50 PCS)</t>
  </si>
  <si>
    <t>GELAS 22 OZ PAPER XXI (50 PCS)</t>
  </si>
  <si>
    <t>GELAS 8 OZ HOT CUP (25 PCS)</t>
  </si>
  <si>
    <t>GELAS POPCORN CARAMEL 16 OZ (50 PCS)</t>
  </si>
  <si>
    <t>GELAS POPCORN CARAMEL 22 OZ (50 PCS)</t>
  </si>
  <si>
    <t>KERTAS MINYAK BURGER (100 PCS)</t>
  </si>
  <si>
    <t>LID BUCKET POPCORN (100 PCS)</t>
  </si>
  <si>
    <t>LUNCH BOX (50 PCS)</t>
  </si>
  <si>
    <t>PAPERBAG AP 2 WARNA (100 PCS)</t>
  </si>
  <si>
    <t>PAPERBAG ROTI SOSIS (50 PCS)</t>
  </si>
  <si>
    <t>STIKER FINGER FOOD (1000 PCS)</t>
  </si>
  <si>
    <t>STIKER NACHOS (1000 PCS)</t>
  </si>
  <si>
    <t>TRAY FISH N CHIPS + TUTUP (50 PCS)</t>
  </si>
  <si>
    <t>TRAY NACHOS + TUTUP (50 PCS)</t>
  </si>
  <si>
    <t>TUTUP GELAS PAPER 12 OZ (50 PCS)</t>
  </si>
  <si>
    <t>TUTUP GELAS PAPER 16/22 OZ (50 PCSS)</t>
  </si>
  <si>
    <t>TUTUP GELAS PAPER 16/22 OZ (100 PCS)</t>
  </si>
  <si>
    <t>TUTUP LID CARAMEL 16/22 OZ (50 PCS)</t>
  </si>
  <si>
    <t>TUTUP LID DOME 12/18/22 OZ (50 PCS)</t>
  </si>
  <si>
    <t>PLASTIK SEALING</t>
  </si>
  <si>
    <t>BOTOL PLASTIK 1000 ML + TUTUP +  PRINTING</t>
  </si>
  <si>
    <t>PLASTIK ROLL BOBA 500 METER 1 WARNA</t>
  </si>
  <si>
    <t>SEDOTAN STIRER 17 CM BROWN (1000 PCS)</t>
  </si>
  <si>
    <t>GELAS 22 OZ PLATIK XXI (50 PCS)</t>
  </si>
  <si>
    <t>CROFFLE SATCHEL PRINTING GOLD (100 PCS)</t>
  </si>
  <si>
    <t>BOX CROFFLE 6</t>
  </si>
  <si>
    <t>SLEEVE PAPER PUCUK (50 PCS)</t>
  </si>
  <si>
    <t>SLEEVE PAPER NIPIS MADU ( 50 PCS)</t>
  </si>
  <si>
    <t>TERMOL BAG (25 PCS)</t>
  </si>
  <si>
    <t>TISU DAPUR</t>
  </si>
  <si>
    <t>DUS POPCORN JUMBO GREEN (150 PCS)</t>
  </si>
  <si>
    <t>NATA JELLY CENDOL (500 GR)</t>
  </si>
  <si>
    <t>CINCAU TAWAR (500 GR)</t>
  </si>
  <si>
    <t>FRUTA GUMMY (13 PCS)</t>
  </si>
  <si>
    <t>CENTRAL KITCHEN</t>
  </si>
  <si>
    <t>NAMA BARANG</t>
  </si>
  <si>
    <t>FISH N CHIPS (10 PCS)</t>
  </si>
  <si>
    <t>SAUCE CIRENG (0,5 KG)</t>
  </si>
  <si>
    <t>SAUCE TAR-TAR (0,5 KG)</t>
  </si>
  <si>
    <t>PLASTIK WRAPPIING</t>
  </si>
  <si>
    <t>CIRENG (10 KG/DUS)</t>
  </si>
  <si>
    <t>BATAGOR ( 6 KG/DUS)</t>
  </si>
  <si>
    <t>SOLAR</t>
  </si>
  <si>
    <t>COCA-COLA</t>
  </si>
  <si>
    <t>FANTA</t>
  </si>
  <si>
    <t>SPRITE</t>
  </si>
  <si>
    <t>LEMON TEA</t>
  </si>
  <si>
    <t>TONIC WATER (24/CRT)</t>
  </si>
  <si>
    <t>CO 2</t>
  </si>
  <si>
    <t>MAYORA</t>
  </si>
  <si>
    <t xml:space="preserve">AIR GALON </t>
  </si>
  <si>
    <t>KO-TE-SU  ( 24 PCS )</t>
  </si>
  <si>
    <t>TORABIKA CAPPUCCINO (120/DUS)</t>
  </si>
  <si>
    <t>LEE MINERAL 600 ML (24/DUS)</t>
  </si>
  <si>
    <t>THE PUCUK LESS SUGAR (24/DUS)</t>
  </si>
  <si>
    <t>NIPIS MADU (12/DUS)</t>
  </si>
  <si>
    <t>HYDRO COCO (12/DUS)</t>
  </si>
  <si>
    <t>POCKY CHOCOLATE</t>
  </si>
  <si>
    <t>POCKY COOKIES N CREAM</t>
  </si>
  <si>
    <t>BENG BENG ( 8 PCK )</t>
  </si>
  <si>
    <t>TANGO WAFFLE ( 8 PCK )</t>
  </si>
  <si>
    <t>HELLO PANDA CHOCOLATE</t>
  </si>
  <si>
    <t xml:space="preserve">HELLO PANDA STRAWBERRY </t>
  </si>
  <si>
    <t>AMOST STRAWBERRY (36/DUS)</t>
  </si>
  <si>
    <t>AMOST PEACH (36/DUS)</t>
  </si>
  <si>
    <t>KOALA MARCH CHOCOLATE ( 48/DUS)</t>
  </si>
  <si>
    <t>ORDERAN (GS)</t>
  </si>
  <si>
    <t>FRENCH FRIES ( 6 PCK )</t>
  </si>
  <si>
    <t>MINI WONTON ( 11 PCK ) MINIMUM 5 DUS</t>
  </si>
  <si>
    <t>SOSIS VIENNNA (MINIMUM 15 KG)</t>
  </si>
  <si>
    <t xml:space="preserve">FRESH MILK </t>
  </si>
  <si>
    <t>OAT SIDE MILK</t>
  </si>
  <si>
    <t>CREAM PUFF</t>
  </si>
  <si>
    <t>SOSIS FRANKFURTER</t>
  </si>
  <si>
    <t>SOSIS JUGDWURST</t>
  </si>
  <si>
    <t>MAC N CHEESE (MINIMUM 15 KG)</t>
  </si>
  <si>
    <t>CHICKEN PATTY ( 6 KG ) MINIMUM 5 DUS</t>
  </si>
  <si>
    <t>KIOS SAYUR</t>
  </si>
  <si>
    <t>LETUCE HEAD</t>
  </si>
  <si>
    <t>TOMAT MERAH</t>
  </si>
  <si>
    <t>JERUK SUNKIST</t>
  </si>
  <si>
    <t>JERUK NIPIS</t>
  </si>
  <si>
    <t>MILAC GOLD</t>
  </si>
  <si>
    <t>DAUN MINT</t>
  </si>
  <si>
    <t>SUNLIGHT</t>
  </si>
  <si>
    <t>SUPERPEL</t>
  </si>
  <si>
    <t>RINSO</t>
  </si>
  <si>
    <t>PLASTIK KLIP  20X30</t>
  </si>
  <si>
    <t xml:space="preserve">GULA PASIR </t>
  </si>
  <si>
    <t>TEA TONGJI ( 100 PCS )</t>
  </si>
  <si>
    <t>GARAM DOLPIN</t>
  </si>
  <si>
    <t xml:space="preserve">ONION </t>
  </si>
  <si>
    <t>TIMUN KYURI</t>
  </si>
  <si>
    <t>MAYONAISE</t>
  </si>
  <si>
    <t>PLASTIK KLIP  30X40</t>
  </si>
  <si>
    <t>SPONS CUCI PIRING</t>
  </si>
  <si>
    <t>NATTA JELLY CENDOL</t>
  </si>
  <si>
    <t>CINCAU TAWAR</t>
  </si>
  <si>
    <t>M1</t>
  </si>
  <si>
    <t>M2</t>
  </si>
  <si>
    <r>
      <t xml:space="preserve">SYRUP WILD MINT ( 1 LTR )                         </t>
    </r>
    <r>
      <rPr>
        <sz val="11"/>
        <color rgb="FFC00000"/>
        <rFont val="Aptos Narrow"/>
        <family val="2"/>
      </rPr>
      <t xml:space="preserve"> ( BOTOL )</t>
    </r>
  </si>
  <si>
    <r>
      <t xml:space="preserve">SYRUP KIWI MIX FRUITS ( 1 LTR )          </t>
    </r>
    <r>
      <rPr>
        <sz val="11"/>
        <color rgb="FFC00000"/>
        <rFont val="Aptos Narrow"/>
        <family val="2"/>
      </rPr>
      <t xml:space="preserve">  (  BOTOL )</t>
    </r>
  </si>
  <si>
    <r>
      <t xml:space="preserve">SYRUP STRAWBERRY MIX FRUIT (1 LTR) </t>
    </r>
    <r>
      <rPr>
        <sz val="11"/>
        <color rgb="FFC00000"/>
        <rFont val="Aptos Narrow"/>
        <family val="2"/>
      </rPr>
      <t xml:space="preserve"> ( BOTOL )</t>
    </r>
  </si>
  <si>
    <r>
      <t xml:space="preserve">GRAPE SAUCE (1000 ML)                                   </t>
    </r>
    <r>
      <rPr>
        <sz val="11"/>
        <color rgb="FFC00000"/>
        <rFont val="Aptos Narrow"/>
        <family val="2"/>
      </rPr>
      <t xml:space="preserve"> ( BOTOL )</t>
    </r>
  </si>
  <si>
    <r>
      <t xml:space="preserve">SYRUP RASPBERRY FRUIT MIX (1 LTR)        </t>
    </r>
    <r>
      <rPr>
        <sz val="11"/>
        <color rgb="FFC00000"/>
        <rFont val="Aptos Narrow"/>
        <family val="2"/>
      </rPr>
      <t>( BOTOL )</t>
    </r>
  </si>
  <si>
    <t>14 BTL</t>
  </si>
  <si>
    <t>TUTUP LID HOT 8/12 OZ (50 PCS)</t>
  </si>
  <si>
    <t>ASLI</t>
  </si>
  <si>
    <t>05.11.26</t>
  </si>
  <si>
    <t>13.06.27</t>
  </si>
  <si>
    <t>14.10.28</t>
  </si>
  <si>
    <t>29.05.28</t>
  </si>
  <si>
    <t>04.11.26</t>
  </si>
  <si>
    <t>18.08.26</t>
  </si>
  <si>
    <t>24.06.27</t>
  </si>
  <si>
    <t>08.02.27</t>
  </si>
  <si>
    <t>10.01.27</t>
  </si>
  <si>
    <t>06.06.27</t>
  </si>
  <si>
    <t>17.02.27</t>
  </si>
  <si>
    <t xml:space="preserve">COCONUT MILK </t>
  </si>
  <si>
    <t>BARANG KELUAR</t>
  </si>
  <si>
    <t>UOM</t>
  </si>
  <si>
    <t>KANTONG PLASTIK XXI BESAR</t>
  </si>
  <si>
    <t>PCS</t>
  </si>
  <si>
    <t>HAND GLOVES</t>
  </si>
  <si>
    <t>LE MINERAL GALON 15 LTR</t>
  </si>
  <si>
    <t>ML</t>
  </si>
  <si>
    <t>SEDOTAN COKLAT ENVELOPE</t>
  </si>
  <si>
    <t>SEDOTAN BUBBLE BROWN</t>
  </si>
  <si>
    <t>KANTONG PLASTIK XXI KECIL</t>
  </si>
  <si>
    <t>SLEEVE PAPER HOT 8/12 OZ</t>
  </si>
  <si>
    <t>SLEEVE PAPER NIPIS</t>
  </si>
  <si>
    <t>SLEEVE PAPER PUCUK</t>
  </si>
  <si>
    <t>SEDOTAN STIRER 17 CM BROWN</t>
  </si>
  <si>
    <t>GULA PASIR</t>
  </si>
  <si>
    <t>GR</t>
  </si>
  <si>
    <t>COKTAIL NAPKIN</t>
  </si>
  <si>
    <t>KERTAS PRINT HVS</t>
  </si>
  <si>
    <t xml:space="preserve">PCS </t>
  </si>
  <si>
    <t>KERTAS PRINT REGISTER ROLL</t>
  </si>
  <si>
    <t>PLASTIK KLIP 7X10</t>
  </si>
  <si>
    <t>PLASTIK KLIP 8X12</t>
  </si>
  <si>
    <t>PLASTIK KLIP 20X30</t>
  </si>
  <si>
    <t>PLASTIK KLIP 30X40</t>
  </si>
  <si>
    <t>PLASTIK KUE 15X20</t>
  </si>
  <si>
    <t>KERTAS MINYAK XXI</t>
  </si>
  <si>
    <t>PLASTIK CLEAR XXI BAKERY</t>
  </si>
  <si>
    <t>DAUN PISANG</t>
  </si>
  <si>
    <t>SAUCE CUP 35 ML</t>
  </si>
  <si>
    <t>PLASTIK ROLL BOBA 500 M</t>
  </si>
  <si>
    <t>ROLL</t>
  </si>
  <si>
    <t>SUSU CORNATION ( 488 GR  )</t>
  </si>
  <si>
    <t>SUSU CORNATION ( 365 GR  )</t>
  </si>
  <si>
    <t>ORDERAN MINGGUAN</t>
  </si>
  <si>
    <t>SISA</t>
  </si>
  <si>
    <t>PCK</t>
  </si>
  <si>
    <t>EMBER</t>
  </si>
  <si>
    <t>DUS</t>
  </si>
  <si>
    <t>BIB</t>
  </si>
  <si>
    <t>CAN</t>
  </si>
  <si>
    <t>TBG</t>
  </si>
  <si>
    <t>GLN</t>
  </si>
  <si>
    <t>BTL</t>
  </si>
  <si>
    <t>POCKY CHOCOLATE (10 PCS)</t>
  </si>
  <si>
    <t>POCKY COOKIES N CREAM (10 PCS)</t>
  </si>
  <si>
    <t>KG</t>
  </si>
  <si>
    <t>IKAT</t>
  </si>
  <si>
    <t>JERIGEN</t>
  </si>
  <si>
    <t>BUMBU JAGUNG BAKAR  ( 1 BTL 60 GR )</t>
  </si>
  <si>
    <t>NEW MENU</t>
  </si>
  <si>
    <t>CHICKEN KARAGE</t>
  </si>
  <si>
    <t>BAKSO LAVA</t>
  </si>
  <si>
    <t>BUMBU JAGUNG</t>
  </si>
  <si>
    <t>SISA OUTLET</t>
  </si>
  <si>
    <t>OUTLET</t>
  </si>
  <si>
    <t>BAKSO MENTAI LAVA ( 1 CRT = 8 PCK ISI )</t>
  </si>
  <si>
    <t>CHICKEN KARAGE ( 1 CRT ISI 5 PCK )</t>
  </si>
  <si>
    <t>01.05.2027</t>
  </si>
  <si>
    <t>CREAM PUFF FROZEN (1 DUS=30 PCS)</t>
  </si>
  <si>
    <t>FRUTA GUMMY 45 GR (1 DUS ISI 72 PCS)</t>
  </si>
  <si>
    <t>TISU DAPUR ( 1 PCK ISI 2 ROLL )</t>
  </si>
  <si>
    <t>SLEEVE KARAGE</t>
  </si>
  <si>
    <t>SLEEVE BAKSO</t>
  </si>
  <si>
    <t>KETERANGAN</t>
  </si>
  <si>
    <t>26.01.2027</t>
  </si>
  <si>
    <t>01.02.2027</t>
  </si>
  <si>
    <t>ORDER</t>
  </si>
  <si>
    <t>0RDER</t>
  </si>
  <si>
    <t>QTY</t>
  </si>
  <si>
    <t>MON</t>
  </si>
  <si>
    <t>CHUPA CHUPS ( 1 CTN 8 X 16 = 128 )</t>
  </si>
  <si>
    <t>AGENDA BOX ( 1 CTN = 10 PCS)</t>
  </si>
  <si>
    <t>HENRY SPELLBOOK BUCKET 85 OZ (1 CTN = 12 PCS)</t>
  </si>
  <si>
    <t>JAMES SIPPER CUP 22 0Z (1 CTN = 24 PCS)</t>
  </si>
  <si>
    <t xml:space="preserve">KETERANGAN </t>
  </si>
  <si>
    <t>kantor</t>
  </si>
  <si>
    <t>26.06.2027</t>
  </si>
  <si>
    <t xml:space="preserve"> 07.08.26 (4 pcs)</t>
  </si>
  <si>
    <t>SPOIL WEEKLY</t>
  </si>
  <si>
    <t>17/19.12.27</t>
  </si>
  <si>
    <t>CTN</t>
  </si>
  <si>
    <r>
      <t xml:space="preserve">      </t>
    </r>
    <r>
      <rPr>
        <b/>
        <sz val="36"/>
        <color rgb="FF000000"/>
        <rFont val="Aptos Narrow"/>
        <family val="2"/>
        <scheme val="minor"/>
      </rPr>
      <t xml:space="preserve">   LIVING WORLD GRAND WISATA BEKASI XXI </t>
    </r>
    <r>
      <rPr>
        <b/>
        <sz val="24"/>
        <color rgb="FF000000"/>
        <rFont val="Aptos Narrow"/>
        <family val="2"/>
        <scheme val="minor"/>
      </rPr>
      <t xml:space="preserve">                         </t>
    </r>
    <r>
      <rPr>
        <b/>
        <sz val="14"/>
        <color rgb="FF000000"/>
        <rFont val="Aptos Narrow"/>
        <family val="2"/>
        <scheme val="minor"/>
      </rPr>
      <t>PERIODE :</t>
    </r>
    <r>
      <rPr>
        <b/>
        <sz val="24"/>
        <color rgb="FF000000"/>
        <rFont val="Aptos Narrow"/>
        <family val="2"/>
        <scheme val="minor"/>
      </rPr>
      <t xml:space="preserve"> </t>
    </r>
    <r>
      <rPr>
        <b/>
        <sz val="12"/>
        <color rgb="FF000000"/>
        <rFont val="Aptos Narrow"/>
        <family val="2"/>
        <scheme val="minor"/>
      </rPr>
      <t>JULI 2026</t>
    </r>
  </si>
  <si>
    <t>NAMA BAHAN BAKU</t>
  </si>
  <si>
    <t xml:space="preserve">SYRUP KIWI MIX FRUITS ( 1 LTR )          </t>
  </si>
  <si>
    <t xml:space="preserve">SYRUP WILD MINT ( 1 LTR )                    </t>
  </si>
  <si>
    <t xml:space="preserve">KANTONG PLASTIK XXI BESAR </t>
  </si>
  <si>
    <t xml:space="preserve">HAND GLOVES KARET </t>
  </si>
  <si>
    <t xml:space="preserve">COCKTAIL NAPKIN </t>
  </si>
  <si>
    <t>ORGANIC CRYSTAL</t>
  </si>
  <si>
    <t xml:space="preserve">KANTONG PLASTIK XXI KECIL </t>
  </si>
  <si>
    <t xml:space="preserve">KERTAS PRINT HVS </t>
  </si>
  <si>
    <t>KERTAS PRINT REGISTER</t>
  </si>
  <si>
    <t xml:space="preserve">SEDOTAN BUBLE BROWN </t>
  </si>
  <si>
    <t xml:space="preserve">SEDOTAN COKLAT ENVELOPE </t>
  </si>
  <si>
    <t xml:space="preserve">SLEEVE PAPER HOT CUP 8/12 </t>
  </si>
  <si>
    <t xml:space="preserve">GELAS 12 OZ PLASTIK CAPPUCINO </t>
  </si>
  <si>
    <t xml:space="preserve">GELAS 18 OZ PLASTIK CAPPUCINO </t>
  </si>
  <si>
    <t xml:space="preserve">GELAS POPCORN CARAMEL 22 OZ </t>
  </si>
  <si>
    <t xml:space="preserve">TUTUP GELAS PAPER 16/22 OZ </t>
  </si>
  <si>
    <t xml:space="preserve">TUTUP LID CARAMEL 16/22 OZ </t>
  </si>
  <si>
    <t>TUTUP LID DOME 12/18/22 OZ</t>
  </si>
  <si>
    <t xml:space="preserve">SEDOTAN STIRER 17 CM BROWN </t>
  </si>
  <si>
    <t>CROFFLE SATCHEL PRINTING</t>
  </si>
  <si>
    <t xml:space="preserve">SLEEVE PAPER NIPIS MADU </t>
  </si>
  <si>
    <r>
      <t xml:space="preserve">         LIVING WORLD GRAND WISATA BEKASI XXI       </t>
    </r>
    <r>
      <rPr>
        <b/>
        <sz val="14"/>
        <color rgb="FF000000"/>
        <rFont val="Aptos Narrow"/>
        <family val="2"/>
        <scheme val="minor"/>
      </rPr>
      <t>PERIODE :</t>
    </r>
    <r>
      <rPr>
        <b/>
        <sz val="11"/>
        <color rgb="FF000000"/>
        <rFont val="Aptos Narrow"/>
        <family val="2"/>
        <scheme val="minor"/>
      </rPr>
      <t xml:space="preserve"> JULI 2026</t>
    </r>
  </si>
  <si>
    <r>
      <rPr>
        <b/>
        <sz val="36"/>
        <color rgb="FF000000"/>
        <rFont val="Aptos Narrow"/>
        <family val="2"/>
        <scheme val="minor"/>
      </rPr>
      <t xml:space="preserve">     LIVING WORLD GRAND WISATA BEKASI XXI </t>
    </r>
    <r>
      <rPr>
        <b/>
        <sz val="24"/>
        <color rgb="FF000000"/>
        <rFont val="Aptos Narrow"/>
        <family val="2"/>
        <scheme val="minor"/>
      </rPr>
      <t xml:space="preserve">   </t>
    </r>
    <r>
      <rPr>
        <b/>
        <sz val="14"/>
        <color rgb="FF000000"/>
        <rFont val="Aptos Narrow"/>
        <family val="2"/>
        <scheme val="minor"/>
      </rPr>
      <t xml:space="preserve">PERIODE : </t>
    </r>
    <r>
      <rPr>
        <b/>
        <sz val="11"/>
        <color rgb="FF000000"/>
        <rFont val="Aptos Narrow"/>
        <family val="2"/>
        <scheme val="minor"/>
      </rPr>
      <t>12.07.2026</t>
    </r>
  </si>
  <si>
    <t>Orderan Minggu Lalu ( Status : Datang )</t>
  </si>
  <si>
    <t xml:space="preserve">SYRUP KIWI MIX FRUITS </t>
  </si>
  <si>
    <t xml:space="preserve">SYRUP WILD MINT </t>
  </si>
  <si>
    <t>SYRUP MONIN LYCHEE</t>
  </si>
  <si>
    <t>SYRUP SOFT DRINK COCA-COLA</t>
  </si>
  <si>
    <t xml:space="preserve">SYRUP SOFT DRINK LEMON TEA </t>
  </si>
  <si>
    <t xml:space="preserve">SYRUP SOFT DRINK SPRITE </t>
  </si>
  <si>
    <t>SYRUP SOFT DRINK FANTA</t>
  </si>
  <si>
    <t xml:space="preserve">SYRUP DVG MANGO FRUIT MIX </t>
  </si>
  <si>
    <t xml:space="preserve">TORABIKA CAPPUCINO </t>
  </si>
  <si>
    <t xml:space="preserve">BOTOL PLASTIK 1000 ML + TUTUP + </t>
  </si>
  <si>
    <t xml:space="preserve">FRUTA GUMMY 45 GR </t>
  </si>
  <si>
    <t xml:space="preserve">BAKSO MENTAI LAVA </t>
  </si>
  <si>
    <t xml:space="preserve">BUMBU JAGUNG BAKAR  </t>
  </si>
  <si>
    <t xml:space="preserve">CHICKEN KARAGE </t>
  </si>
  <si>
    <t>DUS POPCORN JUMBO GREEN</t>
  </si>
  <si>
    <t xml:space="preserve">COCOA DRINK POWDER PREMIX </t>
  </si>
  <si>
    <t xml:space="preserve">SYRUP STRAWBERRY MIX FRUIT </t>
  </si>
  <si>
    <t xml:space="preserve">GRAPE SAUCE (1000 ML)                                  </t>
  </si>
  <si>
    <t xml:space="preserve">SYRUP RASPBERRY FRUIT MIX </t>
  </si>
  <si>
    <t xml:space="preserve">COCONUT WATER HIDRO COCO  </t>
  </si>
  <si>
    <t xml:space="preserve">THE PUCUK HARUM (350ML) </t>
  </si>
  <si>
    <t xml:space="preserve">TUTUP LID DOME 12/18/22 OZ </t>
  </si>
  <si>
    <t xml:space="preserve">GELAS POPCORN CARAMEL 22 </t>
  </si>
  <si>
    <t xml:space="preserve">GELAS POPCORN CARAMEL 16 OZ </t>
  </si>
  <si>
    <t xml:space="preserve">SLEEVE PAPER HOT CUP 8/12 OZ XXI </t>
  </si>
  <si>
    <t xml:space="preserve">JAMES SIPPER CUP 22 0Z </t>
  </si>
  <si>
    <t xml:space="preserve">HENRY SPELLBOOK BUCKET 85 OZ </t>
  </si>
  <si>
    <t xml:space="preserve">CROFFLE NUTELLA  MINI </t>
  </si>
  <si>
    <t>CREAM PUFF FROZEN</t>
  </si>
  <si>
    <t xml:space="preserve">PRETZEL CREAM CHEESE </t>
  </si>
  <si>
    <t xml:space="preserve">CROFFLE ORIGINAL MINI </t>
  </si>
  <si>
    <t xml:space="preserve">ORGANIC CRYSTAL COCONUT </t>
  </si>
  <si>
    <t xml:space="preserve">POCKY COOKIES N CREAM </t>
  </si>
  <si>
    <t xml:space="preserve">POPCORN CARAMEL TO-GO </t>
  </si>
  <si>
    <t xml:space="preserve">BULK BALADO POPCORN </t>
  </si>
  <si>
    <t xml:space="preserve">BULK CHOCOLATE POPCORN </t>
  </si>
  <si>
    <t>BULK TOFFEE NUT POPCORN</t>
  </si>
  <si>
    <t xml:space="preserve">AMOS FRUIT GUMMY PEACH </t>
  </si>
  <si>
    <t xml:space="preserve">AMOS FRUIT GUMMY STRAWBERRY </t>
  </si>
  <si>
    <t xml:space="preserve">KOALA MARCH CHOCOLATE </t>
  </si>
  <si>
    <t xml:space="preserve">KERTAS PRINT REGISTER ROLL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</si>
</sst>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18">
    <font>
      <sz val="11"/>
      <color rgb="FF000000"/>
      <name val="Aptos Narrow"/>
      <scheme val="minor"/>
    </font>
    <font>
      <sz val="16"/>
      <name val="Aptos Narrow"/>
    </font>
    <font>
      <sz val="11"/>
      <name val="Aptos Narrow"/>
    </font>
    <font>
      <sz val="11"/>
      <name val="Aptos Narrow"/>
    </font>
    <font>
      <sz val="18"/>
      <name val="Aptos Narrow"/>
    </font>
    <font>
      <sz val="11"/>
      <color rgb="FFC00000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  <scheme val="minor"/>
    </font>
    <font>
      <sz val="18"/>
      <color rgb="FF000000"/>
      <name val="Aptos Narrow"/>
      <family val="2"/>
      <scheme val="minor"/>
    </font>
    <font>
      <b/>
      <sz val="36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28"/>
      <color rgb="FF000000"/>
      <name val="Aptos Narrow"/>
      <family val="2"/>
      <scheme val="minor"/>
    </font>
    <font>
      <b/>
      <sz val="18"/>
      <name val="Aptos Narrow"/>
      <family val="2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8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BF4F14"/>
        <bgColor rgb="FFBF4F14"/>
      </patternFill>
    </fill>
    <fill>
      <patternFill patternType="solid">
        <fgColor rgb="FFD76DCC"/>
        <bgColor rgb="FFD76DCC"/>
      </patternFill>
    </fill>
    <fill>
      <patternFill patternType="solid">
        <fgColor rgb="FFA5A5A5"/>
        <bgColor rgb="FFA5A5A5"/>
      </patternFill>
    </fill>
    <fill>
      <patternFill patternType="solid">
        <fgColor rgb="FF60CBF3"/>
        <bgColor rgb="FF60CBF3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rgb="FF60CBF3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rgb="FFD76DCC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rgb="FF60CBF3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A5A5A5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BF4F14"/>
      </patternFill>
    </fill>
    <fill>
      <patternFill patternType="solid">
        <fgColor theme="9"/>
        <bgColor rgb="FFBF4F1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BF4F1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A5A5A5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9">
    <xf numFmtId="0" fontId="0" fillId="0" borderId="0" xfId="0"/>
    <xf numFmtId="0" fontId="3" fillId="2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3" fillId="3" borderId="19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19" xfId="0" applyFont="1" applyBorder="1" applyAlignment="1">
      <alignment horizontal="left" vertical="top"/>
    </xf>
    <xf numFmtId="0" fontId="3" fillId="7" borderId="19" xfId="0" applyFont="1" applyFill="1" applyBorder="1" applyAlignment="1">
      <alignment horizontal="left" vertical="top"/>
    </xf>
    <xf numFmtId="0" fontId="3" fillId="9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9" xfId="0" applyFont="1" applyBorder="1"/>
    <xf numFmtId="0" fontId="3" fillId="9" borderId="19" xfId="0" applyFont="1" applyFill="1" applyBorder="1" applyAlignment="1">
      <alignment horizontal="center"/>
    </xf>
    <xf numFmtId="0" fontId="3" fillId="0" borderId="19" xfId="0" applyFont="1" applyBorder="1" applyAlignment="1">
      <alignment horizontal="left"/>
    </xf>
    <xf numFmtId="0" fontId="3" fillId="0" borderId="0" xfId="0" applyFont="1"/>
    <xf numFmtId="0" fontId="3" fillId="0" borderId="20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12" borderId="19" xfId="0" applyFont="1" applyFill="1" applyBorder="1" applyAlignment="1">
      <alignment vertical="center"/>
    </xf>
    <xf numFmtId="0" fontId="3" fillId="12" borderId="19" xfId="0" applyFont="1" applyFill="1" applyBorder="1"/>
    <xf numFmtId="0" fontId="2" fillId="13" borderId="19" xfId="0" applyFont="1" applyFill="1" applyBorder="1" applyAlignment="1">
      <alignment horizontal="center" vertical="center"/>
    </xf>
    <xf numFmtId="0" fontId="3" fillId="14" borderId="19" xfId="0" applyFont="1" applyFill="1" applyBorder="1" applyAlignment="1">
      <alignment horizontal="center" vertical="center"/>
    </xf>
    <xf numFmtId="0" fontId="2" fillId="15" borderId="19" xfId="0" applyFont="1" applyFill="1" applyBorder="1" applyAlignment="1">
      <alignment horizontal="center" vertical="center"/>
    </xf>
    <xf numFmtId="0" fontId="3" fillId="16" borderId="19" xfId="0" applyFont="1" applyFill="1" applyBorder="1" applyAlignment="1">
      <alignment horizontal="center" vertical="center"/>
    </xf>
    <xf numFmtId="0" fontId="3" fillId="14" borderId="19" xfId="0" applyFont="1" applyFill="1" applyBorder="1" applyAlignment="1">
      <alignment vertical="center"/>
    </xf>
    <xf numFmtId="0" fontId="2" fillId="0" borderId="19" xfId="0" applyFont="1" applyBorder="1"/>
    <xf numFmtId="0" fontId="6" fillId="0" borderId="19" xfId="0" applyFont="1" applyBorder="1"/>
    <xf numFmtId="0" fontId="6" fillId="0" borderId="19" xfId="0" applyFont="1" applyBorder="1" applyAlignment="1">
      <alignment horizontal="left" vertical="top"/>
    </xf>
    <xf numFmtId="0" fontId="6" fillId="17" borderId="19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14" borderId="19" xfId="0" applyFont="1" applyFill="1" applyBorder="1"/>
    <xf numFmtId="0" fontId="2" fillId="9" borderId="19" xfId="0" applyFont="1" applyFill="1" applyBorder="1" applyAlignment="1">
      <alignment horizontal="center" vertical="center"/>
    </xf>
    <xf numFmtId="3" fontId="2" fillId="9" borderId="19" xfId="0" applyNumberFormat="1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/>
    </xf>
    <xf numFmtId="17" fontId="2" fillId="9" borderId="19" xfId="0" applyNumberFormat="1" applyFont="1" applyFill="1" applyBorder="1" applyAlignment="1">
      <alignment horizontal="center"/>
    </xf>
    <xf numFmtId="3" fontId="2" fillId="9" borderId="19" xfId="0" applyNumberFormat="1" applyFont="1" applyFill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3" fillId="0" borderId="2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22" borderId="19" xfId="0" applyFont="1" applyFill="1" applyBorder="1" applyAlignment="1">
      <alignment horizontal="center" vertical="center"/>
    </xf>
    <xf numFmtId="0" fontId="7" fillId="0" borderId="0" xfId="0" applyFont="1"/>
    <xf numFmtId="0" fontId="0" fillId="0" borderId="28" xfId="0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3" fillId="14" borderId="1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3" fillId="22" borderId="28" xfId="0" applyFont="1" applyFill="1" applyBorder="1" applyAlignment="1">
      <alignment horizontal="center" vertical="center"/>
    </xf>
    <xf numFmtId="0" fontId="2" fillId="15" borderId="19" xfId="0" applyFont="1" applyFill="1" applyBorder="1" applyAlignment="1">
      <alignment horizontal="center"/>
    </xf>
    <xf numFmtId="0" fontId="0" fillId="25" borderId="28" xfId="0" applyFill="1" applyBorder="1"/>
    <xf numFmtId="0" fontId="0" fillId="26" borderId="28" xfId="0" applyFill="1" applyBorder="1"/>
    <xf numFmtId="0" fontId="2" fillId="0" borderId="28" xfId="0" applyFont="1" applyBorder="1"/>
    <xf numFmtId="0" fontId="2" fillId="0" borderId="28" xfId="0" applyFont="1" applyBorder="1" applyAlignment="1">
      <alignment horizontal="center"/>
    </xf>
    <xf numFmtId="0" fontId="6" fillId="27" borderId="28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30" borderId="19" xfId="0" applyFont="1" applyFill="1" applyBorder="1" applyAlignment="1">
      <alignment horizontal="center"/>
    </xf>
    <xf numFmtId="0" fontId="2" fillId="14" borderId="19" xfId="0" applyFont="1" applyFill="1" applyBorder="1"/>
    <xf numFmtId="0" fontId="2" fillId="12" borderId="19" xfId="0" applyFont="1" applyFill="1" applyBorder="1"/>
    <xf numFmtId="0" fontId="3" fillId="4" borderId="28" xfId="0" applyFont="1" applyFill="1" applyBorder="1" applyAlignment="1">
      <alignment horizontal="center" vertical="center" wrapText="1"/>
    </xf>
    <xf numFmtId="0" fontId="2" fillId="31" borderId="27" xfId="0" applyFont="1" applyFill="1" applyBorder="1"/>
    <xf numFmtId="0" fontId="4" fillId="2" borderId="28" xfId="0" applyFont="1" applyFill="1" applyBorder="1" applyAlignment="1">
      <alignment vertical="center"/>
    </xf>
    <xf numFmtId="0" fontId="3" fillId="4" borderId="28" xfId="0" applyFont="1" applyFill="1" applyBorder="1" applyAlignment="1">
      <alignment vertical="center" wrapText="1"/>
    </xf>
    <xf numFmtId="0" fontId="3" fillId="0" borderId="28" xfId="0" applyFont="1" applyBorder="1" applyAlignment="1">
      <alignment vertical="center"/>
    </xf>
    <xf numFmtId="0" fontId="4" fillId="2" borderId="28" xfId="0" applyFont="1" applyFill="1" applyBorder="1" applyAlignment="1">
      <alignment horizontal="center" vertical="center"/>
    </xf>
    <xf numFmtId="0" fontId="3" fillId="11" borderId="28" xfId="0" applyFont="1" applyFill="1" applyBorder="1" applyAlignment="1">
      <alignment horizontal="center" vertical="center" wrapText="1"/>
    </xf>
    <xf numFmtId="0" fontId="3" fillId="31" borderId="27" xfId="0" applyFont="1" applyFill="1" applyBorder="1" applyAlignment="1">
      <alignment vertical="center"/>
    </xf>
    <xf numFmtId="0" fontId="6" fillId="32" borderId="27" xfId="0" applyFont="1" applyFill="1" applyBorder="1" applyAlignment="1">
      <alignment vertical="center"/>
    </xf>
    <xf numFmtId="0" fontId="2" fillId="31" borderId="27" xfId="0" applyFont="1" applyFill="1" applyBorder="1" applyAlignment="1">
      <alignment vertical="center"/>
    </xf>
    <xf numFmtId="0" fontId="3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6" fillId="31" borderId="27" xfId="0" applyFont="1" applyFill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3" fillId="0" borderId="28" xfId="0" applyFont="1" applyBorder="1"/>
    <xf numFmtId="0" fontId="0" fillId="31" borderId="27" xfId="0" applyFill="1" applyBorder="1"/>
    <xf numFmtId="0" fontId="0" fillId="18" borderId="28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23" borderId="28" xfId="0" applyFont="1" applyFill="1" applyBorder="1"/>
    <xf numFmtId="0" fontId="8" fillId="23" borderId="28" xfId="0" applyFont="1" applyFill="1" applyBorder="1" applyAlignment="1">
      <alignment horizontal="center" vertical="center"/>
    </xf>
    <xf numFmtId="0" fontId="8" fillId="0" borderId="28" xfId="0" applyFont="1" applyBorder="1"/>
    <xf numFmtId="0" fontId="8" fillId="0" borderId="28" xfId="0" applyFont="1" applyBorder="1" applyAlignment="1">
      <alignment horizontal="center" vertical="center"/>
    </xf>
    <xf numFmtId="0" fontId="8" fillId="0" borderId="28" xfId="0" applyFont="1" applyBorder="1" applyAlignment="1">
      <alignment vertical="center"/>
    </xf>
    <xf numFmtId="0" fontId="2" fillId="30" borderId="19" xfId="0" applyFont="1" applyFill="1" applyBorder="1"/>
    <xf numFmtId="0" fontId="2" fillId="9" borderId="28" xfId="0" applyFont="1" applyFill="1" applyBorder="1" applyAlignment="1">
      <alignment horizontal="center"/>
    </xf>
    <xf numFmtId="0" fontId="2" fillId="9" borderId="18" xfId="0" applyFont="1" applyFill="1" applyBorder="1" applyAlignment="1">
      <alignment horizontal="center"/>
    </xf>
    <xf numFmtId="0" fontId="3" fillId="0" borderId="25" xfId="0" applyFont="1" applyBorder="1" applyAlignment="1">
      <alignment horizontal="left" vertical="top"/>
    </xf>
    <xf numFmtId="0" fontId="3" fillId="8" borderId="25" xfId="0" applyFont="1" applyFill="1" applyBorder="1" applyAlignment="1">
      <alignment horizontal="left" vertical="center"/>
    </xf>
    <xf numFmtId="0" fontId="3" fillId="10" borderId="25" xfId="0" applyFont="1" applyFill="1" applyBorder="1" applyAlignment="1">
      <alignment horizontal="left" vertical="top"/>
    </xf>
    <xf numFmtId="0" fontId="2" fillId="0" borderId="25" xfId="0" applyFont="1" applyBorder="1" applyAlignment="1">
      <alignment horizontal="left" vertical="top"/>
    </xf>
    <xf numFmtId="0" fontId="6" fillId="0" borderId="25" xfId="0" applyFont="1" applyBorder="1" applyAlignment="1">
      <alignment horizontal="left" vertical="top"/>
    </xf>
    <xf numFmtId="0" fontId="3" fillId="8" borderId="25" xfId="0" applyFont="1" applyFill="1" applyBorder="1" applyAlignment="1">
      <alignment horizontal="left" vertical="top"/>
    </xf>
    <xf numFmtId="0" fontId="3" fillId="0" borderId="25" xfId="0" applyFont="1" applyBorder="1" applyAlignment="1">
      <alignment horizontal="center" vertical="top"/>
    </xf>
    <xf numFmtId="0" fontId="2" fillId="29" borderId="25" xfId="0" applyFont="1" applyFill="1" applyBorder="1" applyAlignment="1">
      <alignment horizontal="left" vertical="top"/>
    </xf>
    <xf numFmtId="0" fontId="3" fillId="0" borderId="22" xfId="0" applyFont="1" applyBorder="1" applyAlignment="1">
      <alignment horizontal="center"/>
    </xf>
    <xf numFmtId="0" fontId="3" fillId="0" borderId="22" xfId="0" applyFont="1" applyBorder="1"/>
    <xf numFmtId="0" fontId="3" fillId="5" borderId="18" xfId="0" applyFont="1" applyFill="1" applyBorder="1" applyAlignment="1">
      <alignment horizontal="center" vertical="center"/>
    </xf>
    <xf numFmtId="0" fontId="0" fillId="31" borderId="28" xfId="0" applyFill="1" applyBorder="1" applyAlignment="1">
      <alignment horizontal="center"/>
    </xf>
    <xf numFmtId="0" fontId="3" fillId="22" borderId="2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2" fillId="23" borderId="28" xfId="0" applyFont="1" applyFill="1" applyBorder="1" applyAlignment="1">
      <alignment horizontal="center" vertical="center"/>
    </xf>
    <xf numFmtId="0" fontId="15" fillId="0" borderId="0" xfId="0" applyFont="1"/>
    <xf numFmtId="0" fontId="12" fillId="0" borderId="28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21" borderId="28" xfId="0" applyFill="1" applyBorder="1"/>
    <xf numFmtId="0" fontId="2" fillId="22" borderId="28" xfId="0" applyFont="1" applyFill="1" applyBorder="1" applyAlignment="1">
      <alignment horizontal="center" vertical="center"/>
    </xf>
    <xf numFmtId="0" fontId="3" fillId="22" borderId="25" xfId="0" applyFont="1" applyFill="1" applyBorder="1" applyAlignment="1">
      <alignment horizontal="center" vertical="center"/>
    </xf>
    <xf numFmtId="0" fontId="0" fillId="21" borderId="28" xfId="0" applyFill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3" fillId="33" borderId="25" xfId="0" applyFont="1" applyFill="1" applyBorder="1" applyAlignment="1">
      <alignment horizontal="left" vertical="top"/>
    </xf>
    <xf numFmtId="164" fontId="0" fillId="19" borderId="28" xfId="0" applyNumberFormat="1" applyFill="1" applyBorder="1" applyAlignment="1">
      <alignment horizontal="center" vertical="center"/>
    </xf>
    <xf numFmtId="164" fontId="0" fillId="19" borderId="28" xfId="0" applyNumberFormat="1" applyFill="1" applyBorder="1" applyAlignment="1">
      <alignment horizontal="left" vertical="center"/>
    </xf>
    <xf numFmtId="164" fontId="0" fillId="21" borderId="28" xfId="0" applyNumberFormat="1" applyFill="1" applyBorder="1"/>
    <xf numFmtId="164" fontId="0" fillId="0" borderId="28" xfId="0" applyNumberFormat="1" applyBorder="1"/>
    <xf numFmtId="164" fontId="2" fillId="20" borderId="28" xfId="0" applyNumberFormat="1" applyFont="1" applyFill="1" applyBorder="1" applyAlignment="1">
      <alignment horizontal="center" vertical="center"/>
    </xf>
    <xf numFmtId="164" fontId="3" fillId="0" borderId="28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64" fontId="0" fillId="31" borderId="28" xfId="0" applyNumberFormat="1" applyFill="1" applyBorder="1" applyAlignment="1">
      <alignment horizontal="center"/>
    </xf>
    <xf numFmtId="0" fontId="3" fillId="14" borderId="25" xfId="0" applyFont="1" applyFill="1" applyBorder="1" applyAlignment="1">
      <alignment vertical="center"/>
    </xf>
    <xf numFmtId="0" fontId="2" fillId="14" borderId="25" xfId="0" applyFont="1" applyFill="1" applyBorder="1"/>
    <xf numFmtId="0" fontId="3" fillId="14" borderId="25" xfId="0" applyFont="1" applyFill="1" applyBorder="1"/>
    <xf numFmtId="0" fontId="0" fillId="14" borderId="28" xfId="0" applyFill="1" applyBorder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4" borderId="0" xfId="0" applyFill="1"/>
    <xf numFmtId="0" fontId="3" fillId="14" borderId="16" xfId="0" applyFont="1" applyFill="1" applyBorder="1" applyAlignment="1">
      <alignment vertical="center"/>
    </xf>
    <xf numFmtId="0" fontId="0" fillId="14" borderId="36" xfId="0" applyFill="1" applyBorder="1"/>
    <xf numFmtId="0" fontId="3" fillId="14" borderId="16" xfId="0" applyFont="1" applyFill="1" applyBorder="1"/>
    <xf numFmtId="0" fontId="0" fillId="14" borderId="28" xfId="0" applyFill="1" applyBorder="1"/>
    <xf numFmtId="0" fontId="3" fillId="14" borderId="21" xfId="0" applyFont="1" applyFill="1" applyBorder="1"/>
    <xf numFmtId="0" fontId="3" fillId="14" borderId="25" xfId="0" applyFont="1" applyFill="1" applyBorder="1" applyAlignment="1">
      <alignment horizontal="left"/>
    </xf>
    <xf numFmtId="0" fontId="6" fillId="14" borderId="25" xfId="0" applyFont="1" applyFill="1" applyBorder="1"/>
    <xf numFmtId="0" fontId="6" fillId="14" borderId="21" xfId="0" applyFont="1" applyFill="1" applyBorder="1"/>
    <xf numFmtId="0" fontId="2" fillId="14" borderId="13" xfId="0" applyFont="1" applyFill="1" applyBorder="1"/>
    <xf numFmtId="0" fontId="2" fillId="14" borderId="21" xfId="0" applyFont="1" applyFill="1" applyBorder="1"/>
    <xf numFmtId="0" fontId="8" fillId="0" borderId="32" xfId="0" applyFont="1" applyBorder="1" applyAlignment="1">
      <alignment horizontal="center" vertical="center"/>
    </xf>
    <xf numFmtId="0" fontId="0" fillId="21" borderId="29" xfId="0" applyFill="1" applyBorder="1" applyAlignment="1">
      <alignment horizontal="center"/>
    </xf>
    <xf numFmtId="0" fontId="0" fillId="21" borderId="30" xfId="0" applyFill="1" applyBorder="1" applyAlignment="1">
      <alignment horizontal="center"/>
    </xf>
    <xf numFmtId="0" fontId="0" fillId="21" borderId="31" xfId="0" applyFill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2" fillId="0" borderId="23" xfId="0" applyFont="1" applyBorder="1"/>
    <xf numFmtId="0" fontId="2" fillId="0" borderId="26" xfId="0" applyFont="1" applyBorder="1"/>
    <xf numFmtId="0" fontId="3" fillId="0" borderId="24" xfId="0" applyFont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2" fillId="0" borderId="27" xfId="0" applyFont="1" applyBorder="1"/>
    <xf numFmtId="0" fontId="3" fillId="3" borderId="9" xfId="0" applyFont="1" applyFill="1" applyBorder="1" applyAlignment="1">
      <alignment horizontal="center" vertical="center"/>
    </xf>
    <xf numFmtId="0" fontId="2" fillId="0" borderId="16" xfId="0" applyFont="1" applyBorder="1"/>
    <xf numFmtId="0" fontId="3" fillId="0" borderId="3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0" fillId="31" borderId="35" xfId="0" applyFill="1" applyBorder="1" applyAlignment="1">
      <alignment horizontal="center" vertical="center"/>
    </xf>
    <xf numFmtId="0" fontId="0" fillId="31" borderId="36" xfId="0" applyFill="1" applyBorder="1" applyAlignment="1">
      <alignment horizontal="center" vertical="center"/>
    </xf>
    <xf numFmtId="0" fontId="2" fillId="20" borderId="37" xfId="0" applyFont="1" applyFill="1" applyBorder="1" applyAlignment="1">
      <alignment horizontal="center" vertical="center"/>
    </xf>
    <xf numFmtId="0" fontId="2" fillId="20" borderId="27" xfId="0" applyFont="1" applyFill="1" applyBorder="1" applyAlignment="1">
      <alignment horizontal="center" vertical="center"/>
    </xf>
    <xf numFmtId="0" fontId="2" fillId="20" borderId="40" xfId="0" applyFont="1" applyFill="1" applyBorder="1" applyAlignment="1">
      <alignment horizontal="center" vertical="center"/>
    </xf>
    <xf numFmtId="0" fontId="0" fillId="31" borderId="28" xfId="0" applyFill="1" applyBorder="1" applyAlignment="1">
      <alignment horizontal="center" vertical="center"/>
    </xf>
    <xf numFmtId="0" fontId="2" fillId="0" borderId="13" xfId="0" applyFont="1" applyBorder="1"/>
    <xf numFmtId="0" fontId="3" fillId="3" borderId="3" xfId="0" applyFont="1" applyFill="1" applyBorder="1" applyAlignment="1">
      <alignment horizontal="center" vertical="center"/>
    </xf>
    <xf numFmtId="164" fontId="8" fillId="18" borderId="28" xfId="0" applyNumberFormat="1" applyFont="1" applyFill="1" applyBorder="1" applyAlignment="1">
      <alignment horizontal="center" vertical="center"/>
    </xf>
    <xf numFmtId="164" fontId="6" fillId="20" borderId="28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2" fillId="0" borderId="15" xfId="0" applyFont="1" applyBorder="1"/>
    <xf numFmtId="0" fontId="2" fillId="0" borderId="12" xfId="0" applyFont="1" applyBorder="1"/>
    <xf numFmtId="0" fontId="2" fillId="0" borderId="14" xfId="0" applyFont="1" applyBorder="1"/>
    <xf numFmtId="0" fontId="1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1" fillId="2" borderId="16" xfId="0" applyFont="1" applyFill="1" applyBorder="1" applyAlignment="1">
      <alignment horizontal="center" vertical="center"/>
    </xf>
    <xf numFmtId="0" fontId="2" fillId="0" borderId="17" xfId="0" applyFont="1" applyBorder="1"/>
    <xf numFmtId="0" fontId="3" fillId="5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3" fillId="4" borderId="18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5" xfId="0" applyFont="1" applyBorder="1"/>
    <xf numFmtId="0" fontId="2" fillId="0" borderId="11" xfId="0" applyFont="1" applyBorder="1"/>
    <xf numFmtId="0" fontId="2" fillId="5" borderId="25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2" fillId="20" borderId="39" xfId="0" applyFont="1" applyFill="1" applyBorder="1" applyAlignment="1">
      <alignment horizontal="center" vertical="center"/>
    </xf>
    <xf numFmtId="0" fontId="0" fillId="31" borderId="37" xfId="0" applyFill="1" applyBorder="1" applyAlignment="1">
      <alignment horizontal="center" vertical="center"/>
    </xf>
    <xf numFmtId="0" fontId="0" fillId="31" borderId="38" xfId="0" applyFill="1" applyBorder="1" applyAlignment="1">
      <alignment horizontal="center" vertical="center"/>
    </xf>
    <xf numFmtId="0" fontId="7" fillId="26" borderId="28" xfId="0" applyFont="1" applyFill="1" applyBorder="1" applyAlignment="1">
      <alignment horizontal="center"/>
    </xf>
    <xf numFmtId="0" fontId="0" fillId="26" borderId="28" xfId="0" applyFill="1" applyBorder="1" applyAlignment="1">
      <alignment horizontal="center"/>
    </xf>
    <xf numFmtId="0" fontId="6" fillId="26" borderId="28" xfId="0" applyFont="1" applyFill="1" applyBorder="1" applyAlignment="1">
      <alignment horizontal="center"/>
    </xf>
    <xf numFmtId="0" fontId="6" fillId="28" borderId="28" xfId="0" applyFont="1" applyFill="1" applyBorder="1" applyAlignment="1">
      <alignment horizontal="center" vertical="center"/>
    </xf>
    <xf numFmtId="0" fontId="2" fillId="26" borderId="28" xfId="0" applyFont="1" applyFill="1" applyBorder="1" applyAlignment="1">
      <alignment horizontal="center"/>
    </xf>
    <xf numFmtId="0" fontId="8" fillId="24" borderId="28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8" fillId="0" borderId="29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13" fillId="12" borderId="29" xfId="0" applyFont="1" applyFill="1" applyBorder="1" applyAlignment="1">
      <alignment horizontal="center" vertical="center"/>
    </xf>
    <xf numFmtId="0" fontId="13" fillId="12" borderId="30" xfId="0" applyFont="1" applyFill="1" applyBorder="1" applyAlignment="1">
      <alignment horizontal="center" vertical="center"/>
    </xf>
    <xf numFmtId="0" fontId="13" fillId="12" borderId="31" xfId="0" applyFont="1" applyFill="1" applyBorder="1" applyAlignment="1">
      <alignment horizontal="center" vertical="center"/>
    </xf>
    <xf numFmtId="0" fontId="17" fillId="0" borderId="28" xfId="0" applyFont="1" applyBorder="1" applyAlignment="1">
      <alignment horizontal="left" vertical="center"/>
    </xf>
    <xf numFmtId="0" fontId="14" fillId="4" borderId="28" xfId="0" applyFont="1" applyFill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0" fillId="21" borderId="37" xfId="0" applyFill="1" applyBorder="1" applyAlignment="1">
      <alignment horizontal="center"/>
    </xf>
    <xf numFmtId="0" fontId="0" fillId="21" borderId="27" xfId="0" applyFill="1" applyBorder="1" applyAlignment="1">
      <alignment horizontal="center"/>
    </xf>
    <xf numFmtId="0" fontId="0" fillId="0" borderId="29" xfId="0" applyBorder="1"/>
    <xf numFmtId="0" fontId="2" fillId="34" borderId="28" xfId="0" applyFont="1" applyFill="1" applyBorder="1" applyAlignment="1">
      <alignment horizontal="center" vertical="center"/>
    </xf>
    <xf numFmtId="0" fontId="3" fillId="14" borderId="28" xfId="0" applyFont="1" applyFill="1" applyBorder="1" applyAlignment="1">
      <alignment vertical="center"/>
    </xf>
    <xf numFmtId="0" fontId="3" fillId="14" borderId="28" xfId="0" applyFont="1" applyFill="1" applyBorder="1"/>
    <xf numFmtId="0" fontId="3" fillId="14" borderId="28" xfId="0" applyFont="1" applyFill="1" applyBorder="1" applyAlignment="1">
      <alignment horizontal="left"/>
    </xf>
    <xf numFmtId="0" fontId="2" fillId="14" borderId="28" xfId="0" applyFont="1" applyFill="1" applyBorder="1"/>
    <xf numFmtId="0" fontId="6" fillId="14" borderId="2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277"/>
  <sheetViews>
    <sheetView workbookViewId="0">
      <pane xSplit="4" ySplit="4" topLeftCell="E170" activePane="bottomRight" state="frozen"/>
      <selection pane="topRight" activeCell="E1" sqref="E1"/>
      <selection pane="bottomLeft" activeCell="A5" sqref="A5"/>
      <selection pane="bottomRight" activeCell="B3" sqref="B3:B191"/>
    </sheetView>
  </sheetViews>
  <sheetFormatPr defaultColWidth="12.6640625" defaultRowHeight="15" customHeight="1"/>
  <cols>
    <col min="1" max="1" width="4" customWidth="1"/>
    <col min="2" max="2" width="41.44140625" customWidth="1"/>
    <col min="3" max="3" width="9.21875" customWidth="1"/>
    <col min="4" max="4" width="8.109375" customWidth="1"/>
    <col min="5" max="5" width="11.44140625" style="86" customWidth="1"/>
    <col min="6" max="9" width="7.77734375" bestFit="1" customWidth="1"/>
    <col min="10" max="10" width="4.88671875" customWidth="1"/>
    <col min="11" max="12" width="2" customWidth="1"/>
    <col min="13" max="13" width="7" customWidth="1"/>
    <col min="14" max="14" width="5.5546875" customWidth="1"/>
    <col min="15" max="15" width="6.21875" customWidth="1"/>
    <col min="16" max="16" width="6.77734375" customWidth="1"/>
    <col min="17" max="17" width="7.77734375" bestFit="1" customWidth="1"/>
    <col min="18" max="18" width="2" customWidth="1"/>
    <col min="19" max="33" width="3" customWidth="1"/>
    <col min="34" max="34" width="4" bestFit="1" customWidth="1"/>
    <col min="35" max="40" width="3" customWidth="1"/>
    <col min="41" max="41" width="10.44140625" bestFit="1" customWidth="1"/>
    <col min="42" max="42" width="26.88671875" customWidth="1"/>
    <col min="43" max="43" width="8" bestFit="1" customWidth="1"/>
    <col min="44" max="44" width="27.44140625" bestFit="1" customWidth="1"/>
    <col min="45" max="45" width="9.6640625" customWidth="1"/>
    <col min="46" max="46" width="12.33203125" style="86" customWidth="1"/>
    <col min="47" max="48" width="7.77734375" bestFit="1" customWidth="1"/>
    <col min="49" max="49" width="11.109375" customWidth="1"/>
    <col min="50" max="50" width="7.77734375" bestFit="1" customWidth="1"/>
    <col min="51" max="51" width="7.44140625" customWidth="1"/>
    <col min="52" max="57" width="2" customWidth="1"/>
    <col min="58" max="58" width="3" bestFit="1" customWidth="1"/>
    <col min="59" max="59" width="2" customWidth="1"/>
    <col min="60" max="65" width="3" customWidth="1"/>
    <col min="66" max="66" width="5" bestFit="1" customWidth="1"/>
    <col min="67" max="69" width="3" customWidth="1"/>
    <col min="70" max="70" width="5" bestFit="1" customWidth="1"/>
    <col min="71" max="76" width="3" customWidth="1"/>
    <col min="77" max="77" width="5" bestFit="1" customWidth="1"/>
    <col min="78" max="81" width="3" customWidth="1"/>
    <col min="82" max="82" width="3" bestFit="1" customWidth="1"/>
    <col min="83" max="83" width="2" customWidth="1"/>
    <col min="84" max="84" width="3.109375" customWidth="1"/>
    <col min="85" max="85" width="3" bestFit="1" customWidth="1"/>
    <col min="86" max="86" width="3.21875" customWidth="1"/>
    <col min="87" max="90" width="3" bestFit="1" customWidth="1"/>
    <col min="91" max="107" width="3" customWidth="1"/>
    <col min="108" max="108" width="4" bestFit="1" customWidth="1"/>
    <col min="109" max="109" width="4" customWidth="1"/>
    <col min="110" max="110" width="5" bestFit="1" customWidth="1"/>
    <col min="111" max="111" width="3.88671875" customWidth="1"/>
    <col min="112" max="112" width="3.44140625" customWidth="1"/>
    <col min="113" max="113" width="11.109375" customWidth="1"/>
    <col min="114" max="114" width="11.21875" customWidth="1"/>
    <col min="115" max="115" width="8.6640625" customWidth="1"/>
    <col min="116" max="116" width="10.109375" customWidth="1"/>
    <col min="117" max="117" width="8.6640625" customWidth="1"/>
    <col min="118" max="118" width="10.109375" customWidth="1"/>
    <col min="119" max="119" width="8.6640625" customWidth="1"/>
    <col min="120" max="120" width="10.109375" customWidth="1"/>
    <col min="121" max="121" width="8.6640625" customWidth="1"/>
    <col min="122" max="122" width="10.109375" customWidth="1"/>
    <col min="123" max="123" width="9.88671875" customWidth="1"/>
    <col min="124" max="124" width="10.109375" customWidth="1"/>
    <col min="125" max="125" width="8.6640625" customWidth="1"/>
    <col min="126" max="126" width="24.44140625" customWidth="1"/>
    <col min="127" max="127" width="8" customWidth="1"/>
    <col min="128" max="129" width="8.6640625" customWidth="1"/>
  </cols>
  <sheetData>
    <row r="1" spans="1:129" ht="14.25" customHeight="1">
      <c r="A1" s="186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94"/>
      <c r="AQ1" s="1"/>
      <c r="AR1" s="186" t="s">
        <v>1</v>
      </c>
      <c r="AS1" s="187"/>
      <c r="AT1" s="188"/>
      <c r="AU1" s="156"/>
      <c r="AV1" s="156"/>
      <c r="AW1" s="156"/>
      <c r="AX1" s="156"/>
      <c r="AY1" s="188"/>
      <c r="AZ1" s="188"/>
      <c r="BA1" s="188"/>
      <c r="BB1" s="188"/>
      <c r="BC1" s="188"/>
      <c r="BD1" s="188"/>
      <c r="BE1" s="188"/>
      <c r="BF1" s="188"/>
      <c r="BG1" s="188"/>
      <c r="BH1" s="188"/>
      <c r="BI1" s="188"/>
      <c r="BJ1" s="188"/>
      <c r="BK1" s="188"/>
      <c r="BL1" s="188"/>
      <c r="BM1" s="188"/>
      <c r="BN1" s="188"/>
      <c r="BO1" s="188"/>
      <c r="BP1" s="188"/>
      <c r="BQ1" s="188"/>
      <c r="BR1" s="188"/>
      <c r="BS1" s="188"/>
      <c r="BT1" s="188"/>
      <c r="BU1" s="188"/>
      <c r="BV1" s="188"/>
      <c r="BW1" s="188"/>
      <c r="BX1" s="188"/>
      <c r="BY1" s="188"/>
      <c r="BZ1" s="188"/>
      <c r="CA1" s="188"/>
      <c r="CB1" s="188"/>
      <c r="CC1" s="188"/>
      <c r="CD1" s="188"/>
      <c r="CE1" s="188"/>
      <c r="CF1" s="188"/>
      <c r="CG1" s="188"/>
      <c r="CH1" s="188"/>
      <c r="CI1" s="188"/>
      <c r="CJ1" s="188"/>
      <c r="CK1" s="188"/>
      <c r="CL1" s="188"/>
      <c r="CM1" s="188"/>
      <c r="CN1" s="188"/>
      <c r="CO1" s="188"/>
      <c r="CP1" s="188"/>
      <c r="CQ1" s="188"/>
      <c r="CR1" s="188"/>
      <c r="CS1" s="188"/>
      <c r="CT1" s="188"/>
      <c r="CU1" s="188"/>
      <c r="CV1" s="188"/>
      <c r="CW1" s="188"/>
      <c r="CX1" s="188"/>
      <c r="CY1" s="188"/>
      <c r="CZ1" s="188"/>
      <c r="DA1" s="188"/>
      <c r="DB1" s="188"/>
      <c r="DC1" s="188"/>
      <c r="DD1" s="188"/>
      <c r="DE1" s="188"/>
      <c r="DF1" s="188"/>
      <c r="DG1" s="188"/>
      <c r="DH1" s="188"/>
      <c r="DI1" s="188"/>
      <c r="DJ1" s="189"/>
      <c r="DK1" s="171" t="s">
        <v>2</v>
      </c>
      <c r="DL1" s="172"/>
      <c r="DM1" s="172"/>
      <c r="DN1" s="172"/>
      <c r="DO1" s="172"/>
      <c r="DP1" s="172"/>
      <c r="DQ1" s="172"/>
      <c r="DR1" s="173"/>
      <c r="DS1" s="177" t="s">
        <v>3</v>
      </c>
      <c r="DT1" s="178"/>
    </row>
    <row r="2" spans="1:129" ht="14.25" customHeight="1">
      <c r="A2" s="190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67"/>
      <c r="AQ2" s="2" t="s">
        <v>3</v>
      </c>
      <c r="AR2" s="190"/>
      <c r="AS2" s="167"/>
      <c r="AT2" s="175"/>
      <c r="AU2" s="167"/>
      <c r="AV2" s="167"/>
      <c r="AW2" s="167"/>
      <c r="AX2" s="167"/>
      <c r="AY2" s="175"/>
      <c r="AZ2" s="175"/>
      <c r="BA2" s="175"/>
      <c r="BB2" s="175"/>
      <c r="BC2" s="175"/>
      <c r="BD2" s="175"/>
      <c r="BE2" s="175"/>
      <c r="BF2" s="175"/>
      <c r="BG2" s="175"/>
      <c r="BH2" s="175"/>
      <c r="BI2" s="175"/>
      <c r="BJ2" s="175"/>
      <c r="BK2" s="175"/>
      <c r="BL2" s="175"/>
      <c r="BM2" s="175"/>
      <c r="BN2" s="175"/>
      <c r="BO2" s="175"/>
      <c r="BP2" s="175"/>
      <c r="BQ2" s="175"/>
      <c r="BR2" s="175"/>
      <c r="BS2" s="175"/>
      <c r="BT2" s="175"/>
      <c r="BU2" s="175"/>
      <c r="BV2" s="175"/>
      <c r="BW2" s="175"/>
      <c r="BX2" s="175"/>
      <c r="BY2" s="175"/>
      <c r="BZ2" s="175"/>
      <c r="CA2" s="175"/>
      <c r="CB2" s="175"/>
      <c r="CC2" s="175"/>
      <c r="CD2" s="175"/>
      <c r="CE2" s="175"/>
      <c r="CF2" s="175"/>
      <c r="CG2" s="175"/>
      <c r="CH2" s="175"/>
      <c r="CI2" s="175"/>
      <c r="CJ2" s="175"/>
      <c r="CK2" s="175"/>
      <c r="CL2" s="175"/>
      <c r="CM2" s="175"/>
      <c r="CN2" s="175"/>
      <c r="CO2" s="175"/>
      <c r="CP2" s="175"/>
      <c r="CQ2" s="175"/>
      <c r="CR2" s="175"/>
      <c r="CS2" s="175"/>
      <c r="CT2" s="175"/>
      <c r="CU2" s="175"/>
      <c r="CV2" s="175"/>
      <c r="CW2" s="175"/>
      <c r="CX2" s="175"/>
      <c r="CY2" s="175"/>
      <c r="CZ2" s="175"/>
      <c r="DA2" s="175"/>
      <c r="DB2" s="175"/>
      <c r="DC2" s="175"/>
      <c r="DD2" s="175"/>
      <c r="DE2" s="175"/>
      <c r="DF2" s="175"/>
      <c r="DG2" s="175"/>
      <c r="DH2" s="175"/>
      <c r="DI2" s="175"/>
      <c r="DJ2" s="176"/>
      <c r="DK2" s="174"/>
      <c r="DL2" s="175"/>
      <c r="DM2" s="175"/>
      <c r="DN2" s="175"/>
      <c r="DO2" s="175"/>
      <c r="DP2" s="175"/>
      <c r="DQ2" s="175"/>
      <c r="DR2" s="176"/>
      <c r="DS2" s="179" t="s">
        <v>4</v>
      </c>
      <c r="DT2" s="180"/>
    </row>
    <row r="3" spans="1:129" ht="14.25" customHeight="1">
      <c r="A3" s="195" t="s">
        <v>5</v>
      </c>
      <c r="B3" s="184" t="s">
        <v>6</v>
      </c>
      <c r="C3" s="3" t="s">
        <v>7</v>
      </c>
      <c r="D3" s="3" t="s">
        <v>7</v>
      </c>
      <c r="E3" s="4" t="s">
        <v>8</v>
      </c>
      <c r="F3" s="181" t="s">
        <v>9</v>
      </c>
      <c r="G3" s="182"/>
      <c r="H3" s="182"/>
      <c r="I3" s="183"/>
      <c r="J3" s="181" t="s">
        <v>10</v>
      </c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3"/>
      <c r="AO3" s="5" t="s">
        <v>11</v>
      </c>
      <c r="AP3" s="5" t="s">
        <v>12</v>
      </c>
      <c r="AQ3" s="2" t="s">
        <v>13</v>
      </c>
      <c r="AR3" s="3" t="s">
        <v>7</v>
      </c>
      <c r="AS3" s="35" t="s">
        <v>3</v>
      </c>
      <c r="AT3" s="4" t="s">
        <v>8</v>
      </c>
      <c r="AU3" s="191" t="s">
        <v>9</v>
      </c>
      <c r="AV3" s="192"/>
      <c r="AW3" s="192"/>
      <c r="AX3" s="193"/>
      <c r="AY3" s="185" t="s">
        <v>14</v>
      </c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  <c r="BK3" s="182"/>
      <c r="BL3" s="182"/>
      <c r="BM3" s="182"/>
      <c r="BN3" s="182"/>
      <c r="BO3" s="182"/>
      <c r="BP3" s="182"/>
      <c r="BQ3" s="182"/>
      <c r="BR3" s="182"/>
      <c r="BS3" s="182"/>
      <c r="BT3" s="182"/>
      <c r="BU3" s="182"/>
      <c r="BV3" s="182"/>
      <c r="BW3" s="182"/>
      <c r="BX3" s="182"/>
      <c r="BY3" s="182"/>
      <c r="BZ3" s="182"/>
      <c r="CA3" s="182"/>
      <c r="CB3" s="182"/>
      <c r="CC3" s="183"/>
      <c r="CD3" s="181" t="s">
        <v>10</v>
      </c>
      <c r="CE3" s="182"/>
      <c r="CF3" s="182"/>
      <c r="CG3" s="182"/>
      <c r="CH3" s="182"/>
      <c r="CI3" s="182"/>
      <c r="CJ3" s="182"/>
      <c r="CK3" s="182"/>
      <c r="CL3" s="182"/>
      <c r="CM3" s="182"/>
      <c r="CN3" s="182"/>
      <c r="CO3" s="182"/>
      <c r="CP3" s="182"/>
      <c r="CQ3" s="182"/>
      <c r="CR3" s="182"/>
      <c r="CS3" s="182"/>
      <c r="CT3" s="182"/>
      <c r="CU3" s="182"/>
      <c r="CV3" s="182"/>
      <c r="CW3" s="182"/>
      <c r="CX3" s="182"/>
      <c r="CY3" s="182"/>
      <c r="CZ3" s="182"/>
      <c r="DA3" s="182"/>
      <c r="DB3" s="182"/>
      <c r="DC3" s="182"/>
      <c r="DD3" s="182"/>
      <c r="DE3" s="182"/>
      <c r="DF3" s="182"/>
      <c r="DG3" s="182"/>
      <c r="DH3" s="183"/>
      <c r="DI3" s="5" t="s">
        <v>12</v>
      </c>
      <c r="DJ3" s="5" t="s">
        <v>12</v>
      </c>
      <c r="DK3" s="185" t="s">
        <v>12</v>
      </c>
      <c r="DL3" s="182"/>
      <c r="DM3" s="182"/>
      <c r="DN3" s="182"/>
      <c r="DO3" s="182"/>
      <c r="DP3" s="182"/>
      <c r="DQ3" s="182"/>
      <c r="DR3" s="183"/>
      <c r="DS3" s="185" t="s">
        <v>12</v>
      </c>
      <c r="DT3" s="182"/>
    </row>
    <row r="4" spans="1:129" ht="14.25" customHeight="1">
      <c r="A4" s="152"/>
      <c r="B4" s="152"/>
      <c r="C4" s="6" t="s">
        <v>15</v>
      </c>
      <c r="D4" s="3" t="s">
        <v>16</v>
      </c>
      <c r="E4" s="105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>
        <v>1</v>
      </c>
      <c r="K4" s="7">
        <v>2</v>
      </c>
      <c r="L4" s="7">
        <v>3</v>
      </c>
      <c r="M4" s="7">
        <v>4</v>
      </c>
      <c r="N4" s="7">
        <v>5</v>
      </c>
      <c r="O4" s="7">
        <v>6</v>
      </c>
      <c r="P4" s="7">
        <v>7</v>
      </c>
      <c r="Q4" s="7">
        <v>8</v>
      </c>
      <c r="R4" s="7">
        <v>9</v>
      </c>
      <c r="S4" s="7">
        <v>10</v>
      </c>
      <c r="T4" s="7">
        <v>11</v>
      </c>
      <c r="U4" s="7">
        <v>12</v>
      </c>
      <c r="V4" s="7">
        <v>13</v>
      </c>
      <c r="W4" s="7">
        <v>14</v>
      </c>
      <c r="X4" s="7">
        <v>15</v>
      </c>
      <c r="Y4" s="7">
        <v>16</v>
      </c>
      <c r="Z4" s="7">
        <v>17</v>
      </c>
      <c r="AA4" s="7">
        <v>18</v>
      </c>
      <c r="AB4" s="7">
        <v>19</v>
      </c>
      <c r="AC4" s="7">
        <v>20</v>
      </c>
      <c r="AD4" s="7">
        <v>21</v>
      </c>
      <c r="AE4" s="7">
        <v>22</v>
      </c>
      <c r="AF4" s="7">
        <v>23</v>
      </c>
      <c r="AG4" s="7">
        <v>24</v>
      </c>
      <c r="AH4" s="7">
        <v>25</v>
      </c>
      <c r="AI4" s="7">
        <v>26</v>
      </c>
      <c r="AJ4" s="7">
        <v>27</v>
      </c>
      <c r="AK4" s="7">
        <v>28</v>
      </c>
      <c r="AL4" s="7">
        <v>29</v>
      </c>
      <c r="AM4" s="7">
        <v>30</v>
      </c>
      <c r="AN4" s="7">
        <v>31</v>
      </c>
      <c r="AO4" s="7" t="s">
        <v>22</v>
      </c>
      <c r="AP4" s="8" t="s">
        <v>23</v>
      </c>
      <c r="AQ4" s="9" t="s">
        <v>24</v>
      </c>
      <c r="AR4" s="3" t="s">
        <v>25</v>
      </c>
      <c r="AS4" s="35" t="s">
        <v>292</v>
      </c>
      <c r="AT4" s="105" t="s">
        <v>17</v>
      </c>
      <c r="AU4" s="27" t="s">
        <v>283</v>
      </c>
      <c r="AV4" s="27" t="s">
        <v>284</v>
      </c>
      <c r="AW4" s="27" t="s">
        <v>20</v>
      </c>
      <c r="AX4" s="27" t="s">
        <v>21</v>
      </c>
      <c r="AY4" s="7">
        <v>1</v>
      </c>
      <c r="AZ4" s="7">
        <v>2</v>
      </c>
      <c r="BA4" s="7">
        <v>3</v>
      </c>
      <c r="BB4" s="7">
        <v>4</v>
      </c>
      <c r="BC4" s="7">
        <v>5</v>
      </c>
      <c r="BD4" s="7">
        <v>6</v>
      </c>
      <c r="BE4" s="7">
        <v>7</v>
      </c>
      <c r="BF4" s="7">
        <v>8</v>
      </c>
      <c r="BG4" s="7">
        <v>9</v>
      </c>
      <c r="BH4" s="7">
        <v>10</v>
      </c>
      <c r="BI4" s="7">
        <v>11</v>
      </c>
      <c r="BJ4" s="7">
        <v>12</v>
      </c>
      <c r="BK4" s="7">
        <v>13</v>
      </c>
      <c r="BL4" s="7">
        <v>14</v>
      </c>
      <c r="BM4" s="7">
        <v>15</v>
      </c>
      <c r="BN4" s="7">
        <v>16</v>
      </c>
      <c r="BO4" s="7">
        <v>17</v>
      </c>
      <c r="BP4" s="7">
        <v>18</v>
      </c>
      <c r="BQ4" s="7">
        <v>19</v>
      </c>
      <c r="BR4" s="7">
        <v>20</v>
      </c>
      <c r="BS4" s="7">
        <v>21</v>
      </c>
      <c r="BT4" s="7">
        <v>22</v>
      </c>
      <c r="BU4" s="7">
        <v>23</v>
      </c>
      <c r="BV4" s="7">
        <v>24</v>
      </c>
      <c r="BW4" s="7">
        <v>25</v>
      </c>
      <c r="BX4" s="7">
        <v>26</v>
      </c>
      <c r="BY4" s="7">
        <v>27</v>
      </c>
      <c r="BZ4" s="7">
        <v>28</v>
      </c>
      <c r="CA4" s="7">
        <v>29</v>
      </c>
      <c r="CB4" s="7">
        <v>30</v>
      </c>
      <c r="CC4" s="7">
        <v>31</v>
      </c>
      <c r="CD4" s="7">
        <v>1</v>
      </c>
      <c r="CE4" s="7">
        <v>2</v>
      </c>
      <c r="CF4" s="7">
        <v>3</v>
      </c>
      <c r="CG4" s="7">
        <v>4</v>
      </c>
      <c r="CH4" s="7">
        <v>5</v>
      </c>
      <c r="CI4" s="7">
        <v>6</v>
      </c>
      <c r="CJ4" s="7">
        <v>7</v>
      </c>
      <c r="CK4" s="7">
        <v>8</v>
      </c>
      <c r="CL4" s="7">
        <v>9</v>
      </c>
      <c r="CM4" s="7">
        <v>10</v>
      </c>
      <c r="CN4" s="7">
        <v>11</v>
      </c>
      <c r="CO4" s="7">
        <v>12</v>
      </c>
      <c r="CP4" s="7">
        <v>13</v>
      </c>
      <c r="CQ4" s="7">
        <v>14</v>
      </c>
      <c r="CR4" s="7">
        <v>15</v>
      </c>
      <c r="CS4" s="7">
        <v>16</v>
      </c>
      <c r="CT4" s="7">
        <v>17</v>
      </c>
      <c r="CU4" s="7">
        <v>18</v>
      </c>
      <c r="CV4" s="7">
        <v>19</v>
      </c>
      <c r="CW4" s="7">
        <v>20</v>
      </c>
      <c r="CX4" s="7">
        <v>21</v>
      </c>
      <c r="CY4" s="7">
        <v>22</v>
      </c>
      <c r="CZ4" s="7">
        <v>23</v>
      </c>
      <c r="DA4" s="7">
        <v>24</v>
      </c>
      <c r="DB4" s="7">
        <v>25</v>
      </c>
      <c r="DC4" s="7">
        <v>26</v>
      </c>
      <c r="DD4" s="7">
        <v>27</v>
      </c>
      <c r="DE4" s="7">
        <v>28</v>
      </c>
      <c r="DF4" s="7">
        <v>29</v>
      </c>
      <c r="DG4" s="7">
        <v>30</v>
      </c>
      <c r="DH4" s="7">
        <v>31</v>
      </c>
      <c r="DI4" s="7" t="s">
        <v>22</v>
      </c>
      <c r="DJ4" s="7" t="s">
        <v>23</v>
      </c>
      <c r="DK4" s="7" t="s">
        <v>26</v>
      </c>
      <c r="DL4" s="10" t="s">
        <v>23</v>
      </c>
      <c r="DM4" s="7" t="s">
        <v>27</v>
      </c>
      <c r="DN4" s="7" t="s">
        <v>23</v>
      </c>
      <c r="DO4" s="7" t="s">
        <v>28</v>
      </c>
      <c r="DP4" s="7" t="s">
        <v>23</v>
      </c>
      <c r="DQ4" s="7" t="s">
        <v>29</v>
      </c>
      <c r="DR4" s="11" t="s">
        <v>23</v>
      </c>
      <c r="DS4" s="11" t="s">
        <v>22</v>
      </c>
      <c r="DT4" s="11" t="s">
        <v>23</v>
      </c>
    </row>
    <row r="5" spans="1:129" ht="14.25" customHeight="1">
      <c r="A5" s="28">
        <v>1</v>
      </c>
      <c r="B5" s="31" t="s">
        <v>30</v>
      </c>
      <c r="C5" s="12"/>
      <c r="D5" s="95"/>
      <c r="E5" s="56">
        <v>0</v>
      </c>
      <c r="F5" s="50"/>
      <c r="G5" s="12">
        <v>250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>
        <f t="shared" ref="AO5:AO13" si="0">E5+F5+G5+H5+I5-J5-K5-L5-M5-N5-O5-P5-Q5-R5-S5-T5-U5-V5-W5-X5-Y5-Z5-AA5-AB5-AC5-AD5-AE5-AF5-AG5-AH5-AI5-AJ5-AK5-AL5-AM5-AN5</f>
        <v>250</v>
      </c>
      <c r="AP5" s="12">
        <f>AO5</f>
        <v>250</v>
      </c>
      <c r="AQ5" s="12">
        <f t="shared" ref="AQ5:AQ13" si="1">AP5+DJ5</f>
        <v>250</v>
      </c>
      <c r="AR5" s="12"/>
      <c r="AS5" s="126">
        <f t="shared" ref="AS5:AS9" si="2">DI5</f>
        <v>0</v>
      </c>
      <c r="AT5" s="56">
        <v>0</v>
      </c>
      <c r="AU5" s="50"/>
      <c r="AV5" s="12"/>
      <c r="AW5" s="12"/>
      <c r="AX5" s="12"/>
      <c r="AY5" s="12">
        <f t="shared" ref="AY5:AY13" si="3">J5</f>
        <v>0</v>
      </c>
      <c r="AZ5" s="12">
        <f t="shared" ref="AZ5:AZ13" si="4">K5</f>
        <v>0</v>
      </c>
      <c r="BA5" s="12">
        <f t="shared" ref="BA5:BA13" si="5">L5</f>
        <v>0</v>
      </c>
      <c r="BB5" s="12">
        <f t="shared" ref="BB5:BB13" si="6">M5</f>
        <v>0</v>
      </c>
      <c r="BC5" s="12">
        <f t="shared" ref="BC5:BC13" si="7">N5</f>
        <v>0</v>
      </c>
      <c r="BD5" s="12">
        <f t="shared" ref="BD5:BD13" si="8">O5</f>
        <v>0</v>
      </c>
      <c r="BE5" s="12">
        <f t="shared" ref="BE5:BE13" si="9">P5</f>
        <v>0</v>
      </c>
      <c r="BF5" s="12">
        <f t="shared" ref="BF5:BF13" si="10">Q5</f>
        <v>0</v>
      </c>
      <c r="BG5" s="12">
        <f t="shared" ref="BG5:BG13" si="11">R5</f>
        <v>0</v>
      </c>
      <c r="BH5" s="12">
        <f t="shared" ref="BH5:BH13" si="12">S5</f>
        <v>0</v>
      </c>
      <c r="BI5" s="12">
        <f t="shared" ref="BI5:BI13" si="13">T5</f>
        <v>0</v>
      </c>
      <c r="BJ5" s="12">
        <f t="shared" ref="BJ5:BJ13" si="14">U5</f>
        <v>0</v>
      </c>
      <c r="BK5" s="12">
        <f t="shared" ref="BK5:BK13" si="15">V5</f>
        <v>0</v>
      </c>
      <c r="BL5" s="12">
        <f t="shared" ref="BL5:BL13" si="16">W5</f>
        <v>0</v>
      </c>
      <c r="BM5" s="12">
        <f t="shared" ref="BM5:BM13" si="17">X5</f>
        <v>0</v>
      </c>
      <c r="BN5" s="12">
        <f t="shared" ref="BN5:BN13" si="18">Y5</f>
        <v>0</v>
      </c>
      <c r="BO5" s="12">
        <f t="shared" ref="BO5:BO13" si="19">Z5</f>
        <v>0</v>
      </c>
      <c r="BP5" s="12">
        <f t="shared" ref="BP5:BP13" si="20">AA5</f>
        <v>0</v>
      </c>
      <c r="BQ5" s="12">
        <f t="shared" ref="BQ5:BQ13" si="21">AB5</f>
        <v>0</v>
      </c>
      <c r="BR5" s="12">
        <f t="shared" ref="BR5:BR13" si="22">AC5</f>
        <v>0</v>
      </c>
      <c r="BS5" s="12">
        <f t="shared" ref="BS5:BS13" si="23">AD5</f>
        <v>0</v>
      </c>
      <c r="BT5" s="12">
        <f t="shared" ref="BT5:BT13" si="24">AE5</f>
        <v>0</v>
      </c>
      <c r="BU5" s="12">
        <f t="shared" ref="BU5:BU13" si="25">AF5</f>
        <v>0</v>
      </c>
      <c r="BV5" s="12">
        <f t="shared" ref="BV5:BV13" si="26">AG5</f>
        <v>0</v>
      </c>
      <c r="BW5" s="12">
        <f t="shared" ref="BW5:BW13" si="27">AH5</f>
        <v>0</v>
      </c>
      <c r="BX5" s="12">
        <f t="shared" ref="BX5:BX13" si="28">AI5</f>
        <v>0</v>
      </c>
      <c r="BY5" s="12">
        <f t="shared" ref="BY5:BY13" si="29">AJ5</f>
        <v>0</v>
      </c>
      <c r="BZ5" s="12">
        <f t="shared" ref="BZ5:BZ13" si="30">AK5</f>
        <v>0</v>
      </c>
      <c r="CA5" s="12">
        <f t="shared" ref="CA5:CA13" si="31">AL5</f>
        <v>0</v>
      </c>
      <c r="CB5" s="12">
        <f t="shared" ref="CB5:CB13" si="32">AM5</f>
        <v>0</v>
      </c>
      <c r="CC5" s="12">
        <f t="shared" ref="CC5:CC13" si="33">AN5</f>
        <v>0</v>
      </c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36">
        <f t="shared" ref="DI5:DI6" si="34">(AT5+SUM(AU5:AX5)+SUM(AY5:CC5)-SUM(CD5:DH5))</f>
        <v>0</v>
      </c>
      <c r="DJ5" s="12">
        <f>DI5</f>
        <v>0</v>
      </c>
      <c r="DK5" s="12">
        <f t="shared" ref="DK5:DK13" si="35">SUM(CD5:CJ5)</f>
        <v>0</v>
      </c>
      <c r="DL5" s="12">
        <f>DK5</f>
        <v>0</v>
      </c>
      <c r="DM5" s="12">
        <f t="shared" ref="DM5:DM13" si="36">SUM(CK5:CQ5)</f>
        <v>0</v>
      </c>
      <c r="DN5" s="12">
        <f>DM5</f>
        <v>0</v>
      </c>
      <c r="DO5" s="12">
        <f t="shared" ref="DO5:DO13" si="37">SUM(CR5:CX5)</f>
        <v>0</v>
      </c>
      <c r="DP5" s="12">
        <f>DO5</f>
        <v>0</v>
      </c>
      <c r="DQ5" s="12">
        <f t="shared" ref="DQ5:DQ13" si="38">SUM(CY5:DH5)</f>
        <v>0</v>
      </c>
      <c r="DR5" s="12">
        <f>DQ5</f>
        <v>0</v>
      </c>
      <c r="DS5" s="12">
        <f t="shared" ref="DS5:DS13" si="39">DK5+DM5+DO5+DQ5</f>
        <v>0</v>
      </c>
      <c r="DT5" s="12">
        <f>DS5</f>
        <v>0</v>
      </c>
    </row>
    <row r="6" spans="1:129" ht="14.25" customHeight="1">
      <c r="A6" s="30">
        <v>2</v>
      </c>
      <c r="B6" s="25" t="s">
        <v>31</v>
      </c>
      <c r="C6" s="15" t="s">
        <v>32</v>
      </c>
      <c r="D6" s="96" t="s">
        <v>33</v>
      </c>
      <c r="E6" s="56">
        <v>0</v>
      </c>
      <c r="F6" s="50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>
        <f t="shared" si="0"/>
        <v>0</v>
      </c>
      <c r="AP6" s="12">
        <f>AO6*15000</f>
        <v>0</v>
      </c>
      <c r="AQ6" s="12">
        <f t="shared" si="1"/>
        <v>300000</v>
      </c>
      <c r="AR6" s="12"/>
      <c r="AS6" s="126">
        <f t="shared" si="2"/>
        <v>20</v>
      </c>
      <c r="AT6" s="56">
        <v>31</v>
      </c>
      <c r="AU6" s="50">
        <v>10</v>
      </c>
      <c r="AV6" s="12">
        <v>10</v>
      </c>
      <c r="AW6" s="12"/>
      <c r="AX6" s="12"/>
      <c r="AY6" s="12">
        <f t="shared" si="3"/>
        <v>0</v>
      </c>
      <c r="AZ6" s="12">
        <f t="shared" si="4"/>
        <v>0</v>
      </c>
      <c r="BA6" s="12">
        <f t="shared" si="5"/>
        <v>0</v>
      </c>
      <c r="BB6" s="12">
        <f t="shared" si="6"/>
        <v>0</v>
      </c>
      <c r="BC6" s="12">
        <f t="shared" si="7"/>
        <v>0</v>
      </c>
      <c r="BD6" s="12">
        <f t="shared" si="8"/>
        <v>0</v>
      </c>
      <c r="BE6" s="12">
        <f t="shared" si="9"/>
        <v>0</v>
      </c>
      <c r="BF6" s="12">
        <f t="shared" si="10"/>
        <v>0</v>
      </c>
      <c r="BG6" s="12">
        <f t="shared" si="11"/>
        <v>0</v>
      </c>
      <c r="BH6" s="12">
        <f t="shared" si="12"/>
        <v>0</v>
      </c>
      <c r="BI6" s="12">
        <f t="shared" si="13"/>
        <v>0</v>
      </c>
      <c r="BJ6" s="12">
        <f t="shared" si="14"/>
        <v>0</v>
      </c>
      <c r="BK6" s="12">
        <f t="shared" si="15"/>
        <v>0</v>
      </c>
      <c r="BL6" s="12">
        <f t="shared" si="16"/>
        <v>0</v>
      </c>
      <c r="BM6" s="12">
        <f t="shared" si="17"/>
        <v>0</v>
      </c>
      <c r="BN6" s="12">
        <f t="shared" si="18"/>
        <v>0</v>
      </c>
      <c r="BO6" s="12">
        <f t="shared" si="19"/>
        <v>0</v>
      </c>
      <c r="BP6" s="12">
        <f t="shared" si="20"/>
        <v>0</v>
      </c>
      <c r="BQ6" s="12">
        <f t="shared" si="21"/>
        <v>0</v>
      </c>
      <c r="BR6" s="12">
        <f t="shared" si="22"/>
        <v>0</v>
      </c>
      <c r="BS6" s="12">
        <f t="shared" si="23"/>
        <v>0</v>
      </c>
      <c r="BT6" s="12">
        <f t="shared" si="24"/>
        <v>0</v>
      </c>
      <c r="BU6" s="12">
        <f t="shared" si="25"/>
        <v>0</v>
      </c>
      <c r="BV6" s="12">
        <f t="shared" si="26"/>
        <v>0</v>
      </c>
      <c r="BW6" s="12">
        <f t="shared" si="27"/>
        <v>0</v>
      </c>
      <c r="BX6" s="12">
        <f t="shared" si="28"/>
        <v>0</v>
      </c>
      <c r="BY6" s="12">
        <f t="shared" si="29"/>
        <v>0</v>
      </c>
      <c r="BZ6" s="12">
        <f t="shared" si="30"/>
        <v>0</v>
      </c>
      <c r="CA6" s="12">
        <f t="shared" si="31"/>
        <v>0</v>
      </c>
      <c r="CB6" s="12">
        <f t="shared" si="32"/>
        <v>0</v>
      </c>
      <c r="CC6" s="12">
        <f t="shared" si="33"/>
        <v>0</v>
      </c>
      <c r="CD6" s="12"/>
      <c r="CE6" s="12"/>
      <c r="CF6" s="12"/>
      <c r="CG6" s="12">
        <v>11</v>
      </c>
      <c r="CH6" s="12"/>
      <c r="CI6" s="12">
        <v>8</v>
      </c>
      <c r="CJ6" s="12"/>
      <c r="CK6" s="12"/>
      <c r="CL6" s="12"/>
      <c r="CM6" s="12"/>
      <c r="CN6" s="12"/>
      <c r="CO6" s="12">
        <v>3</v>
      </c>
      <c r="CP6" s="12">
        <v>8</v>
      </c>
      <c r="CQ6" s="12"/>
      <c r="CR6" s="12"/>
      <c r="CS6" s="12"/>
      <c r="CT6" s="12">
        <v>1</v>
      </c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36">
        <f t="shared" si="34"/>
        <v>20</v>
      </c>
      <c r="DJ6" s="12">
        <f>DI6*15000</f>
        <v>300000</v>
      </c>
      <c r="DK6" s="12">
        <f t="shared" si="35"/>
        <v>19</v>
      </c>
      <c r="DL6" s="12">
        <f>DK6*15000</f>
        <v>285000</v>
      </c>
      <c r="DM6" s="12">
        <f t="shared" si="36"/>
        <v>11</v>
      </c>
      <c r="DN6" s="12">
        <f>DM6*15000</f>
        <v>165000</v>
      </c>
      <c r="DO6" s="12">
        <f t="shared" si="37"/>
        <v>1</v>
      </c>
      <c r="DP6" s="12">
        <f>DO6*15000</f>
        <v>15000</v>
      </c>
      <c r="DQ6" s="12">
        <f t="shared" si="38"/>
        <v>0</v>
      </c>
      <c r="DR6" s="12">
        <f>DQ6*15000</f>
        <v>0</v>
      </c>
      <c r="DS6" s="12">
        <f t="shared" si="39"/>
        <v>31</v>
      </c>
      <c r="DT6" s="12">
        <f>DS6*15000</f>
        <v>465000</v>
      </c>
    </row>
    <row r="7" spans="1:129" ht="14.25" customHeight="1">
      <c r="A7" s="12">
        <v>3</v>
      </c>
      <c r="B7" s="13" t="s">
        <v>34</v>
      </c>
      <c r="C7" s="14"/>
      <c r="D7" s="95"/>
      <c r="E7" s="56">
        <v>1</v>
      </c>
      <c r="F7" s="50"/>
      <c r="G7" s="12"/>
      <c r="H7" s="12"/>
      <c r="I7" s="12"/>
      <c r="J7" s="12"/>
      <c r="K7" s="12"/>
      <c r="L7" s="12"/>
      <c r="M7" s="12"/>
      <c r="N7" s="12"/>
      <c r="O7" s="12"/>
      <c r="P7" s="12"/>
      <c r="Q7" s="12">
        <v>1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>
        <f>(E7+F7+G7+H7+I7-J7-K7-L7-M7-N7-O7-P7-Q7-R7-S7-T7-U7-V7-W7-X7-Y7-Z7-AA7-AB7-AC7-AD7-AE7-AF7-AG7-AH7-AI7-AJ7-AK7-AL7-AM7-AN7)</f>
        <v>0</v>
      </c>
      <c r="AP7" s="12">
        <f>AO7*5760</f>
        <v>0</v>
      </c>
      <c r="AQ7" s="12">
        <f t="shared" si="1"/>
        <v>7440</v>
      </c>
      <c r="AR7" s="12"/>
      <c r="AS7" s="126">
        <f t="shared" si="2"/>
        <v>62</v>
      </c>
      <c r="AT7" s="56">
        <v>14</v>
      </c>
      <c r="AU7" s="50"/>
      <c r="AV7" s="12"/>
      <c r="AW7" s="12"/>
      <c r="AX7" s="12"/>
      <c r="AY7" s="12">
        <f>J7*48</f>
        <v>0</v>
      </c>
      <c r="AZ7" s="12">
        <f t="shared" ref="AZ7:CC7" si="40">K7*48</f>
        <v>0</v>
      </c>
      <c r="BA7" s="12">
        <f t="shared" si="40"/>
        <v>0</v>
      </c>
      <c r="BB7" s="12">
        <f t="shared" si="40"/>
        <v>0</v>
      </c>
      <c r="BC7" s="12">
        <f t="shared" si="40"/>
        <v>0</v>
      </c>
      <c r="BD7" s="12">
        <f t="shared" si="40"/>
        <v>0</v>
      </c>
      <c r="BE7" s="12">
        <f t="shared" si="40"/>
        <v>0</v>
      </c>
      <c r="BF7" s="12">
        <f t="shared" si="40"/>
        <v>48</v>
      </c>
      <c r="BG7" s="12">
        <f t="shared" si="40"/>
        <v>0</v>
      </c>
      <c r="BH7" s="12">
        <f t="shared" si="40"/>
        <v>0</v>
      </c>
      <c r="BI7" s="12">
        <f t="shared" si="40"/>
        <v>0</v>
      </c>
      <c r="BJ7" s="12">
        <f t="shared" si="40"/>
        <v>0</v>
      </c>
      <c r="BK7" s="12">
        <f t="shared" si="40"/>
        <v>0</v>
      </c>
      <c r="BL7" s="12">
        <f t="shared" si="40"/>
        <v>0</v>
      </c>
      <c r="BM7" s="12">
        <f t="shared" si="40"/>
        <v>0</v>
      </c>
      <c r="BN7" s="12">
        <f t="shared" si="40"/>
        <v>0</v>
      </c>
      <c r="BO7" s="12">
        <f t="shared" si="40"/>
        <v>0</v>
      </c>
      <c r="BP7" s="12">
        <f t="shared" si="40"/>
        <v>0</v>
      </c>
      <c r="BQ7" s="12">
        <f t="shared" si="40"/>
        <v>0</v>
      </c>
      <c r="BR7" s="12">
        <f t="shared" si="40"/>
        <v>0</v>
      </c>
      <c r="BS7" s="12">
        <f t="shared" si="40"/>
        <v>0</v>
      </c>
      <c r="BT7" s="12">
        <f t="shared" si="40"/>
        <v>0</v>
      </c>
      <c r="BU7" s="12">
        <f t="shared" si="40"/>
        <v>0</v>
      </c>
      <c r="BV7" s="12">
        <f t="shared" si="40"/>
        <v>0</v>
      </c>
      <c r="BW7" s="12">
        <f t="shared" si="40"/>
        <v>0</v>
      </c>
      <c r="BX7" s="12">
        <f t="shared" si="40"/>
        <v>0</v>
      </c>
      <c r="BY7" s="12">
        <f t="shared" si="40"/>
        <v>0</v>
      </c>
      <c r="BZ7" s="12">
        <f t="shared" si="40"/>
        <v>0</v>
      </c>
      <c r="CA7" s="12">
        <f t="shared" si="40"/>
        <v>0</v>
      </c>
      <c r="CB7" s="12">
        <f t="shared" si="40"/>
        <v>0</v>
      </c>
      <c r="CC7" s="12">
        <f t="shared" si="40"/>
        <v>0</v>
      </c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36">
        <f>(AT7+SUM(AU7:AX7)*48+SUM(AY7:CC7)-SUM(CD7:DH7))</f>
        <v>62</v>
      </c>
      <c r="DJ7" s="12">
        <f>DI7*120</f>
        <v>7440</v>
      </c>
      <c r="DK7" s="12">
        <f t="shared" si="35"/>
        <v>0</v>
      </c>
      <c r="DL7" s="12">
        <f>DK7*120</f>
        <v>0</v>
      </c>
      <c r="DM7" s="12">
        <f t="shared" si="36"/>
        <v>0</v>
      </c>
      <c r="DN7" s="12">
        <f>DM7*120</f>
        <v>0</v>
      </c>
      <c r="DO7" s="12">
        <f t="shared" si="37"/>
        <v>0</v>
      </c>
      <c r="DP7" s="12">
        <f>DO7*120</f>
        <v>0</v>
      </c>
      <c r="DQ7" s="12">
        <f t="shared" si="38"/>
        <v>0</v>
      </c>
      <c r="DR7" s="12">
        <f>DQ7*120</f>
        <v>0</v>
      </c>
      <c r="DS7" s="12">
        <f t="shared" si="39"/>
        <v>0</v>
      </c>
      <c r="DT7" s="12">
        <f>DS7*120</f>
        <v>0</v>
      </c>
    </row>
    <row r="8" spans="1:129" ht="14.25" customHeight="1">
      <c r="A8" s="12">
        <v>4</v>
      </c>
      <c r="B8" s="13" t="s">
        <v>35</v>
      </c>
      <c r="C8" s="14"/>
      <c r="D8" s="95"/>
      <c r="E8" s="56">
        <v>2</v>
      </c>
      <c r="F8" s="50"/>
      <c r="G8" s="12">
        <v>1</v>
      </c>
      <c r="H8" s="12"/>
      <c r="I8" s="12"/>
      <c r="J8" s="12"/>
      <c r="K8" s="12"/>
      <c r="L8" s="12"/>
      <c r="M8" s="12"/>
      <c r="N8" s="12"/>
      <c r="O8" s="12"/>
      <c r="P8" s="12"/>
      <c r="Q8" s="12">
        <v>1</v>
      </c>
      <c r="R8" s="12"/>
      <c r="S8" s="12"/>
      <c r="T8" s="12"/>
      <c r="U8" s="12"/>
      <c r="V8" s="12"/>
      <c r="W8" s="12"/>
      <c r="X8" s="12"/>
      <c r="Y8" s="12"/>
      <c r="Z8" s="12">
        <v>1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>
        <f>(E8+F8+G8+H8+I8-J8-K8-L8-M8-N8-O8-P8-Q8-R8-S8-T8-U8-V8-W8-X8-Y8-Z8-AA8-AB8-AC8-AD8-AE8-AF8-AG8-AH8-AI8-AJ8-AK8-AL8-AM8-AN8)</f>
        <v>1</v>
      </c>
      <c r="AP8" s="12">
        <f>AO8*600</f>
        <v>600</v>
      </c>
      <c r="AQ8" s="12">
        <f t="shared" si="1"/>
        <v>2400</v>
      </c>
      <c r="AR8" s="29"/>
      <c r="AS8" s="126">
        <f t="shared" si="2"/>
        <v>36</v>
      </c>
      <c r="AT8" s="56">
        <v>12</v>
      </c>
      <c r="AU8" s="50"/>
      <c r="AV8" s="12"/>
      <c r="AW8" s="12"/>
      <c r="AX8" s="12"/>
      <c r="AY8" s="12">
        <f t="shared" ref="AY8" si="41">J8*12</f>
        <v>0</v>
      </c>
      <c r="AZ8" s="12">
        <f t="shared" ref="AZ8" si="42">K8*12</f>
        <v>0</v>
      </c>
      <c r="BA8" s="12">
        <f t="shared" ref="BA8" si="43">L8*12</f>
        <v>0</v>
      </c>
      <c r="BB8" s="12">
        <f t="shared" ref="BB8" si="44">M8*12</f>
        <v>0</v>
      </c>
      <c r="BC8" s="12">
        <f t="shared" ref="BC8" si="45">N8*12</f>
        <v>0</v>
      </c>
      <c r="BD8" s="12">
        <f t="shared" ref="BD8" si="46">O8*12</f>
        <v>0</v>
      </c>
      <c r="BE8" s="12">
        <f t="shared" ref="BE8" si="47">P8*12</f>
        <v>0</v>
      </c>
      <c r="BF8" s="12">
        <f t="shared" ref="BF8" si="48">Q8*12</f>
        <v>12</v>
      </c>
      <c r="BG8" s="12">
        <f t="shared" ref="BG8" si="49">R8*12</f>
        <v>0</v>
      </c>
      <c r="BH8" s="12">
        <f t="shared" ref="BH8" si="50">S8*12</f>
        <v>0</v>
      </c>
      <c r="BI8" s="12">
        <f t="shared" ref="BI8" si="51">T8*12</f>
        <v>0</v>
      </c>
      <c r="BJ8" s="12">
        <f t="shared" ref="BJ8" si="52">U8*12</f>
        <v>0</v>
      </c>
      <c r="BK8" s="12">
        <f t="shared" ref="BK8" si="53">V8*12</f>
        <v>0</v>
      </c>
      <c r="BL8" s="12">
        <f t="shared" ref="BL8" si="54">W8*12</f>
        <v>0</v>
      </c>
      <c r="BM8" s="12">
        <f t="shared" ref="BM8" si="55">X8*12</f>
        <v>0</v>
      </c>
      <c r="BN8" s="12">
        <f t="shared" ref="BN8" si="56">Y8*12</f>
        <v>0</v>
      </c>
      <c r="BO8" s="12">
        <f t="shared" ref="BO8" si="57">Z8*12</f>
        <v>12</v>
      </c>
      <c r="BP8" s="12">
        <f t="shared" ref="BP8" si="58">AA8*12</f>
        <v>0</v>
      </c>
      <c r="BQ8" s="12">
        <f t="shared" ref="BQ8:BV8" si="59">AB8*12</f>
        <v>0</v>
      </c>
      <c r="BR8" s="12">
        <f t="shared" si="59"/>
        <v>0</v>
      </c>
      <c r="BS8" s="12">
        <f t="shared" si="59"/>
        <v>0</v>
      </c>
      <c r="BT8" s="12">
        <f t="shared" si="59"/>
        <v>0</v>
      </c>
      <c r="BU8" s="12">
        <f t="shared" si="59"/>
        <v>0</v>
      </c>
      <c r="BV8" s="12">
        <f t="shared" si="59"/>
        <v>0</v>
      </c>
      <c r="BW8" s="12">
        <f>AH8*12</f>
        <v>0</v>
      </c>
      <c r="BX8" s="12">
        <f t="shared" ref="BX8:CC8" si="60">AI8*12</f>
        <v>0</v>
      </c>
      <c r="BY8" s="12">
        <f t="shared" si="60"/>
        <v>0</v>
      </c>
      <c r="BZ8" s="12">
        <f t="shared" si="60"/>
        <v>0</v>
      </c>
      <c r="CA8" s="12">
        <f t="shared" si="60"/>
        <v>0</v>
      </c>
      <c r="CB8" s="12">
        <f t="shared" si="60"/>
        <v>0</v>
      </c>
      <c r="CC8" s="12">
        <f t="shared" si="60"/>
        <v>0</v>
      </c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36">
        <f>(AT8+SUM(AU8:AX8)*12+SUM(AY8:CC8)-SUM(CD8:DH8))</f>
        <v>36</v>
      </c>
      <c r="DJ8" s="12">
        <f>DI8*50</f>
        <v>1800</v>
      </c>
      <c r="DK8" s="12">
        <f t="shared" si="35"/>
        <v>0</v>
      </c>
      <c r="DL8" s="12">
        <f>DK8*50</f>
        <v>0</v>
      </c>
      <c r="DM8" s="12">
        <f t="shared" si="36"/>
        <v>0</v>
      </c>
      <c r="DN8" s="12">
        <f>DM8*50</f>
        <v>0</v>
      </c>
      <c r="DO8" s="12">
        <f t="shared" si="37"/>
        <v>0</v>
      </c>
      <c r="DP8" s="12">
        <f>DO8*50</f>
        <v>0</v>
      </c>
      <c r="DQ8" s="12">
        <f t="shared" si="38"/>
        <v>0</v>
      </c>
      <c r="DR8" s="12">
        <f>DQ8*50</f>
        <v>0</v>
      </c>
      <c r="DS8" s="12">
        <f t="shared" si="39"/>
        <v>0</v>
      </c>
      <c r="DT8" s="12">
        <f>DS8*50</f>
        <v>0</v>
      </c>
    </row>
    <row r="9" spans="1:129" ht="14.25" customHeight="1">
      <c r="A9" s="30">
        <v>5</v>
      </c>
      <c r="B9" s="13" t="s">
        <v>36</v>
      </c>
      <c r="C9" s="15" t="s">
        <v>32</v>
      </c>
      <c r="D9" s="95"/>
      <c r="E9" s="56">
        <v>0</v>
      </c>
      <c r="F9" s="50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>
        <f t="shared" si="0"/>
        <v>0</v>
      </c>
      <c r="AP9" s="12">
        <f>AO9*100</f>
        <v>0</v>
      </c>
      <c r="AQ9" s="12">
        <f t="shared" si="1"/>
        <v>0</v>
      </c>
      <c r="AR9" s="12"/>
      <c r="AS9" s="126">
        <f t="shared" si="2"/>
        <v>0</v>
      </c>
      <c r="AT9" s="56">
        <v>0</v>
      </c>
      <c r="AU9" s="50"/>
      <c r="AV9" s="12"/>
      <c r="AW9" s="12"/>
      <c r="AX9" s="12"/>
      <c r="AY9" s="12">
        <f t="shared" si="3"/>
        <v>0</v>
      </c>
      <c r="AZ9" s="12">
        <f t="shared" si="4"/>
        <v>0</v>
      </c>
      <c r="BA9" s="12">
        <f t="shared" si="5"/>
        <v>0</v>
      </c>
      <c r="BB9" s="12">
        <f t="shared" si="6"/>
        <v>0</v>
      </c>
      <c r="BC9" s="12">
        <f t="shared" si="7"/>
        <v>0</v>
      </c>
      <c r="BD9" s="12">
        <f t="shared" si="8"/>
        <v>0</v>
      </c>
      <c r="BE9" s="12">
        <f t="shared" si="9"/>
        <v>0</v>
      </c>
      <c r="BF9" s="12">
        <f t="shared" si="10"/>
        <v>0</v>
      </c>
      <c r="BG9" s="12">
        <f t="shared" si="11"/>
        <v>0</v>
      </c>
      <c r="BH9" s="12">
        <f t="shared" si="12"/>
        <v>0</v>
      </c>
      <c r="BI9" s="12">
        <f t="shared" si="13"/>
        <v>0</v>
      </c>
      <c r="BJ9" s="12">
        <f t="shared" si="14"/>
        <v>0</v>
      </c>
      <c r="BK9" s="12">
        <f t="shared" si="15"/>
        <v>0</v>
      </c>
      <c r="BL9" s="12">
        <f t="shared" si="16"/>
        <v>0</v>
      </c>
      <c r="BM9" s="12">
        <f t="shared" si="17"/>
        <v>0</v>
      </c>
      <c r="BN9" s="12">
        <f t="shared" si="18"/>
        <v>0</v>
      </c>
      <c r="BO9" s="12">
        <f t="shared" si="19"/>
        <v>0</v>
      </c>
      <c r="BP9" s="12">
        <f t="shared" si="20"/>
        <v>0</v>
      </c>
      <c r="BQ9" s="12">
        <f t="shared" si="21"/>
        <v>0</v>
      </c>
      <c r="BR9" s="12">
        <f t="shared" si="22"/>
        <v>0</v>
      </c>
      <c r="BS9" s="12">
        <f t="shared" si="23"/>
        <v>0</v>
      </c>
      <c r="BT9" s="12">
        <f t="shared" si="24"/>
        <v>0</v>
      </c>
      <c r="BU9" s="12">
        <f t="shared" si="25"/>
        <v>0</v>
      </c>
      <c r="BV9" s="12">
        <f t="shared" si="26"/>
        <v>0</v>
      </c>
      <c r="BW9" s="12">
        <f t="shared" si="27"/>
        <v>0</v>
      </c>
      <c r="BX9" s="12">
        <f t="shared" si="28"/>
        <v>0</v>
      </c>
      <c r="BY9" s="12">
        <f t="shared" si="29"/>
        <v>0</v>
      </c>
      <c r="BZ9" s="12">
        <f t="shared" si="30"/>
        <v>0</v>
      </c>
      <c r="CA9" s="12">
        <f t="shared" si="31"/>
        <v>0</v>
      </c>
      <c r="CB9" s="12">
        <f t="shared" si="32"/>
        <v>0</v>
      </c>
      <c r="CC9" s="12">
        <f t="shared" si="33"/>
        <v>0</v>
      </c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36">
        <f>(AT9+SUM(AU9:AX9)*100+SUM(AY9:CC9)-SUM(CD9:DH9))</f>
        <v>0</v>
      </c>
      <c r="DJ9" s="12">
        <f>DI9*100</f>
        <v>0</v>
      </c>
      <c r="DK9" s="12">
        <f t="shared" si="35"/>
        <v>0</v>
      </c>
      <c r="DL9" s="12">
        <f>DK9*100</f>
        <v>0</v>
      </c>
      <c r="DM9" s="12">
        <f t="shared" si="36"/>
        <v>0</v>
      </c>
      <c r="DN9" s="12">
        <f>DM9*100</f>
        <v>0</v>
      </c>
      <c r="DO9" s="12">
        <f t="shared" si="37"/>
        <v>0</v>
      </c>
      <c r="DP9" s="12">
        <f>DO9*100</f>
        <v>0</v>
      </c>
      <c r="DQ9" s="12">
        <f t="shared" si="38"/>
        <v>0</v>
      </c>
      <c r="DR9" s="12">
        <f>DQ9*100</f>
        <v>0</v>
      </c>
      <c r="DS9" s="12">
        <f t="shared" si="39"/>
        <v>0</v>
      </c>
      <c r="DT9" s="12">
        <f>DS9*100</f>
        <v>0</v>
      </c>
    </row>
    <row r="10" spans="1:129" ht="14.25" customHeight="1">
      <c r="A10" s="12">
        <v>6</v>
      </c>
      <c r="B10" s="13" t="s">
        <v>37</v>
      </c>
      <c r="C10" s="14"/>
      <c r="D10" s="95"/>
      <c r="E10" s="56">
        <v>8</v>
      </c>
      <c r="F10" s="50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>
        <f t="shared" si="0"/>
        <v>8</v>
      </c>
      <c r="AP10" s="12">
        <f>AO10*200</f>
        <v>1600</v>
      </c>
      <c r="AQ10" s="12">
        <f t="shared" si="1"/>
        <v>2600</v>
      </c>
      <c r="AR10" s="16" t="s">
        <v>38</v>
      </c>
      <c r="AS10" s="126">
        <f t="shared" ref="AS10:AS13" si="61">DI10</f>
        <v>5</v>
      </c>
      <c r="AT10" s="56">
        <v>5</v>
      </c>
      <c r="AU10" s="50"/>
      <c r="AV10" s="12"/>
      <c r="AW10" s="12"/>
      <c r="AX10" s="12"/>
      <c r="AY10" s="12">
        <f t="shared" si="3"/>
        <v>0</v>
      </c>
      <c r="AZ10" s="12">
        <f t="shared" si="4"/>
        <v>0</v>
      </c>
      <c r="BA10" s="12">
        <f t="shared" si="5"/>
        <v>0</v>
      </c>
      <c r="BB10" s="12">
        <f t="shared" si="6"/>
        <v>0</v>
      </c>
      <c r="BC10" s="12">
        <f t="shared" si="7"/>
        <v>0</v>
      </c>
      <c r="BD10" s="12">
        <f t="shared" si="8"/>
        <v>0</v>
      </c>
      <c r="BE10" s="12">
        <f t="shared" si="9"/>
        <v>0</v>
      </c>
      <c r="BF10" s="12">
        <f t="shared" si="10"/>
        <v>0</v>
      </c>
      <c r="BG10" s="12">
        <f t="shared" si="11"/>
        <v>0</v>
      </c>
      <c r="BH10" s="12">
        <f t="shared" si="12"/>
        <v>0</v>
      </c>
      <c r="BI10" s="12">
        <f t="shared" si="13"/>
        <v>0</v>
      </c>
      <c r="BJ10" s="12">
        <f t="shared" si="14"/>
        <v>0</v>
      </c>
      <c r="BK10" s="12">
        <f t="shared" si="15"/>
        <v>0</v>
      </c>
      <c r="BL10" s="12">
        <f t="shared" si="16"/>
        <v>0</v>
      </c>
      <c r="BM10" s="12">
        <f t="shared" si="17"/>
        <v>0</v>
      </c>
      <c r="BN10" s="12">
        <f t="shared" si="18"/>
        <v>0</v>
      </c>
      <c r="BO10" s="12">
        <f t="shared" si="19"/>
        <v>0</v>
      </c>
      <c r="BP10" s="12">
        <f t="shared" si="20"/>
        <v>0</v>
      </c>
      <c r="BQ10" s="12">
        <f t="shared" si="21"/>
        <v>0</v>
      </c>
      <c r="BR10" s="12">
        <f t="shared" si="22"/>
        <v>0</v>
      </c>
      <c r="BS10" s="12">
        <f t="shared" si="23"/>
        <v>0</v>
      </c>
      <c r="BT10" s="12">
        <f t="shared" si="24"/>
        <v>0</v>
      </c>
      <c r="BU10" s="12">
        <f t="shared" si="25"/>
        <v>0</v>
      </c>
      <c r="BV10" s="12">
        <f t="shared" si="26"/>
        <v>0</v>
      </c>
      <c r="BW10" s="12">
        <f t="shared" si="27"/>
        <v>0</v>
      </c>
      <c r="BX10" s="12">
        <f t="shared" si="28"/>
        <v>0</v>
      </c>
      <c r="BY10" s="12">
        <f t="shared" si="29"/>
        <v>0</v>
      </c>
      <c r="BZ10" s="12">
        <f t="shared" si="30"/>
        <v>0</v>
      </c>
      <c r="CA10" s="12">
        <f t="shared" si="31"/>
        <v>0</v>
      </c>
      <c r="CB10" s="12">
        <f t="shared" si="32"/>
        <v>0</v>
      </c>
      <c r="CC10" s="12">
        <f t="shared" si="33"/>
        <v>0</v>
      </c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36">
        <f>(AT10+SUM(AU10:AX10)+SUM(AY10:CC10)-SUM(CD10:DH10))</f>
        <v>5</v>
      </c>
      <c r="DJ10" s="12">
        <f>DI10*200</f>
        <v>1000</v>
      </c>
      <c r="DK10" s="12">
        <f t="shared" si="35"/>
        <v>0</v>
      </c>
      <c r="DL10" s="12">
        <f>DK10*200</f>
        <v>0</v>
      </c>
      <c r="DM10" s="12">
        <f t="shared" si="36"/>
        <v>0</v>
      </c>
      <c r="DN10" s="12">
        <f>DM10*200</f>
        <v>0</v>
      </c>
      <c r="DO10" s="12">
        <f t="shared" si="37"/>
        <v>0</v>
      </c>
      <c r="DP10" s="12">
        <f>DO10*200</f>
        <v>0</v>
      </c>
      <c r="DQ10" s="12">
        <f t="shared" si="38"/>
        <v>0</v>
      </c>
      <c r="DR10" s="12">
        <f>DQ10*200</f>
        <v>0</v>
      </c>
      <c r="DS10" s="12">
        <f t="shared" si="39"/>
        <v>0</v>
      </c>
      <c r="DT10" s="12">
        <f>DS10*200</f>
        <v>0</v>
      </c>
    </row>
    <row r="11" spans="1:129" ht="14.25" customHeight="1">
      <c r="A11" s="30">
        <v>7</v>
      </c>
      <c r="B11" s="13" t="s">
        <v>39</v>
      </c>
      <c r="C11" s="15" t="s">
        <v>32</v>
      </c>
      <c r="D11" s="95"/>
      <c r="E11" s="56">
        <v>0</v>
      </c>
      <c r="F11" s="50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>
        <f t="shared" si="0"/>
        <v>0</v>
      </c>
      <c r="AP11" s="12">
        <f>AO11</f>
        <v>0</v>
      </c>
      <c r="AQ11" s="12">
        <f t="shared" si="1"/>
        <v>21</v>
      </c>
      <c r="AR11" s="38" t="s">
        <v>293</v>
      </c>
      <c r="AS11" s="126">
        <f t="shared" si="61"/>
        <v>21</v>
      </c>
      <c r="AT11" s="56">
        <v>22</v>
      </c>
      <c r="AU11" s="50"/>
      <c r="AV11" s="12"/>
      <c r="AW11" s="12"/>
      <c r="AX11" s="12"/>
      <c r="AY11" s="12">
        <f>J11*24</f>
        <v>0</v>
      </c>
      <c r="AZ11" s="12">
        <f t="shared" ref="AZ11:CC11" si="62">K11*24</f>
        <v>0</v>
      </c>
      <c r="BA11" s="12">
        <f t="shared" si="62"/>
        <v>0</v>
      </c>
      <c r="BB11" s="12">
        <f t="shared" si="62"/>
        <v>0</v>
      </c>
      <c r="BC11" s="12">
        <f t="shared" si="62"/>
        <v>0</v>
      </c>
      <c r="BD11" s="12">
        <f t="shared" si="62"/>
        <v>0</v>
      </c>
      <c r="BE11" s="12">
        <f t="shared" si="62"/>
        <v>0</v>
      </c>
      <c r="BF11" s="12">
        <f t="shared" si="62"/>
        <v>0</v>
      </c>
      <c r="BG11" s="12">
        <f t="shared" si="62"/>
        <v>0</v>
      </c>
      <c r="BH11" s="12">
        <f t="shared" si="62"/>
        <v>0</v>
      </c>
      <c r="BI11" s="12">
        <f t="shared" si="62"/>
        <v>0</v>
      </c>
      <c r="BJ11" s="12">
        <f t="shared" si="62"/>
        <v>0</v>
      </c>
      <c r="BK11" s="12">
        <f t="shared" si="62"/>
        <v>0</v>
      </c>
      <c r="BL11" s="12">
        <f t="shared" si="62"/>
        <v>0</v>
      </c>
      <c r="BM11" s="12">
        <f t="shared" si="62"/>
        <v>0</v>
      </c>
      <c r="BN11" s="12">
        <f t="shared" si="62"/>
        <v>0</v>
      </c>
      <c r="BO11" s="12">
        <f t="shared" si="62"/>
        <v>0</v>
      </c>
      <c r="BP11" s="12">
        <f t="shared" si="62"/>
        <v>0</v>
      </c>
      <c r="BQ11" s="12">
        <f t="shared" si="62"/>
        <v>0</v>
      </c>
      <c r="BR11" s="12">
        <f t="shared" si="62"/>
        <v>0</v>
      </c>
      <c r="BS11" s="12">
        <f t="shared" si="62"/>
        <v>0</v>
      </c>
      <c r="BT11" s="12">
        <f t="shared" si="62"/>
        <v>0</v>
      </c>
      <c r="BU11" s="12">
        <f t="shared" si="62"/>
        <v>0</v>
      </c>
      <c r="BV11" s="12">
        <f t="shared" si="62"/>
        <v>0</v>
      </c>
      <c r="BW11" s="12">
        <f t="shared" si="62"/>
        <v>0</v>
      </c>
      <c r="BX11" s="12">
        <f t="shared" si="62"/>
        <v>0</v>
      </c>
      <c r="BY11" s="12">
        <f t="shared" si="62"/>
        <v>0</v>
      </c>
      <c r="BZ11" s="12">
        <f t="shared" si="62"/>
        <v>0</v>
      </c>
      <c r="CA11" s="12">
        <f t="shared" si="62"/>
        <v>0</v>
      </c>
      <c r="CB11" s="12">
        <f t="shared" si="62"/>
        <v>0</v>
      </c>
      <c r="CC11" s="12">
        <f t="shared" si="62"/>
        <v>0</v>
      </c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>
        <v>1</v>
      </c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36">
        <f>(AT11+SUM(AU11:AX11)*24+SUM(AY11:CC11)-SUM(CD11:DH11))</f>
        <v>21</v>
      </c>
      <c r="DJ11" s="12">
        <f>DI11</f>
        <v>21</v>
      </c>
      <c r="DK11" s="12">
        <f t="shared" si="35"/>
        <v>0</v>
      </c>
      <c r="DL11" s="12">
        <f>DK11</f>
        <v>0</v>
      </c>
      <c r="DM11" s="12">
        <f t="shared" si="36"/>
        <v>0</v>
      </c>
      <c r="DN11" s="12">
        <f>DM11</f>
        <v>0</v>
      </c>
      <c r="DO11" s="12">
        <f t="shared" si="37"/>
        <v>1</v>
      </c>
      <c r="DP11" s="12">
        <f>DO11</f>
        <v>1</v>
      </c>
      <c r="DQ11" s="12">
        <f t="shared" si="38"/>
        <v>0</v>
      </c>
      <c r="DR11" s="12">
        <f>DQ11</f>
        <v>0</v>
      </c>
      <c r="DS11" s="12">
        <f t="shared" si="39"/>
        <v>1</v>
      </c>
      <c r="DT11" s="12">
        <f>DS11</f>
        <v>1</v>
      </c>
    </row>
    <row r="12" spans="1:129" ht="14.25" customHeight="1">
      <c r="A12" s="12">
        <v>8</v>
      </c>
      <c r="B12" s="13" t="s">
        <v>40</v>
      </c>
      <c r="C12" s="14"/>
      <c r="D12" s="95"/>
      <c r="E12" s="56">
        <v>2</v>
      </c>
      <c r="F12" s="50"/>
      <c r="G12" s="12"/>
      <c r="H12" s="12"/>
      <c r="I12" s="12"/>
      <c r="J12" s="12">
        <v>1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>
        <v>1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>
        <f>(E12+F12+G12+H12+I12-J12-K12-L12-M12-N12-O12-P12-Q12-R12-S12-T12-U12-V12-W12-X12-Y12-Z12-AA12-AB12-AC12-AD12-AE12-AF12-AG12-AH12-AI12-AJ12-AK12-AL12-AM12-AN12)</f>
        <v>0</v>
      </c>
      <c r="AP12" s="12">
        <f>AO12*3456</f>
        <v>0</v>
      </c>
      <c r="AQ12" s="12">
        <f t="shared" si="1"/>
        <v>12240</v>
      </c>
      <c r="AR12" s="16"/>
      <c r="AS12" s="126">
        <f t="shared" si="61"/>
        <v>170</v>
      </c>
      <c r="AT12" s="56">
        <v>74</v>
      </c>
      <c r="AU12" s="50"/>
      <c r="AV12" s="12"/>
      <c r="AW12" s="12"/>
      <c r="AX12" s="12"/>
      <c r="AY12" s="12">
        <f>J12*48</f>
        <v>48</v>
      </c>
      <c r="AZ12" s="12">
        <f t="shared" ref="AZ12:CC12" si="63">K12*48</f>
        <v>0</v>
      </c>
      <c r="BA12" s="12">
        <f t="shared" si="63"/>
        <v>0</v>
      </c>
      <c r="BB12" s="12">
        <f t="shared" si="63"/>
        <v>0</v>
      </c>
      <c r="BC12" s="12">
        <f t="shared" si="63"/>
        <v>0</v>
      </c>
      <c r="BD12" s="12">
        <f t="shared" si="63"/>
        <v>0</v>
      </c>
      <c r="BE12" s="12">
        <f t="shared" si="63"/>
        <v>0</v>
      </c>
      <c r="BF12" s="12">
        <f t="shared" si="63"/>
        <v>0</v>
      </c>
      <c r="BG12" s="12">
        <f t="shared" si="63"/>
        <v>0</v>
      </c>
      <c r="BH12" s="12">
        <f t="shared" si="63"/>
        <v>0</v>
      </c>
      <c r="BI12" s="12">
        <f t="shared" si="63"/>
        <v>0</v>
      </c>
      <c r="BJ12" s="12">
        <f t="shared" si="63"/>
        <v>0</v>
      </c>
      <c r="BK12" s="12">
        <f t="shared" si="63"/>
        <v>0</v>
      </c>
      <c r="BL12" s="12">
        <f t="shared" si="63"/>
        <v>0</v>
      </c>
      <c r="BM12" s="12">
        <f t="shared" si="63"/>
        <v>0</v>
      </c>
      <c r="BN12" s="12">
        <f t="shared" si="63"/>
        <v>0</v>
      </c>
      <c r="BO12" s="12">
        <f t="shared" si="63"/>
        <v>48</v>
      </c>
      <c r="BP12" s="12">
        <f t="shared" si="63"/>
        <v>0</v>
      </c>
      <c r="BQ12" s="12">
        <f t="shared" si="63"/>
        <v>0</v>
      </c>
      <c r="BR12" s="12">
        <f t="shared" si="63"/>
        <v>0</v>
      </c>
      <c r="BS12" s="12">
        <f t="shared" si="63"/>
        <v>0</v>
      </c>
      <c r="BT12" s="12">
        <f t="shared" si="63"/>
        <v>0</v>
      </c>
      <c r="BU12" s="12">
        <f t="shared" si="63"/>
        <v>0</v>
      </c>
      <c r="BV12" s="12">
        <f t="shared" si="63"/>
        <v>0</v>
      </c>
      <c r="BW12" s="12">
        <f t="shared" si="63"/>
        <v>0</v>
      </c>
      <c r="BX12" s="12">
        <f t="shared" si="63"/>
        <v>0</v>
      </c>
      <c r="BY12" s="12">
        <f t="shared" si="63"/>
        <v>0</v>
      </c>
      <c r="BZ12" s="12">
        <f t="shared" si="63"/>
        <v>0</v>
      </c>
      <c r="CA12" s="12">
        <f t="shared" si="63"/>
        <v>0</v>
      </c>
      <c r="CB12" s="12">
        <f t="shared" si="63"/>
        <v>0</v>
      </c>
      <c r="CC12" s="12">
        <f t="shared" si="63"/>
        <v>0</v>
      </c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36">
        <f>(AT12+SUM(AU12:AX12)*48+SUM(AY12:CC12)-SUM(CD12:DH12))</f>
        <v>170</v>
      </c>
      <c r="DJ12" s="12">
        <f>DI12*72</f>
        <v>12240</v>
      </c>
      <c r="DK12" s="12">
        <f t="shared" si="35"/>
        <v>0</v>
      </c>
      <c r="DL12" s="12">
        <f>DK12*72</f>
        <v>0</v>
      </c>
      <c r="DM12" s="12">
        <f t="shared" si="36"/>
        <v>0</v>
      </c>
      <c r="DN12" s="12">
        <f>DM12*72</f>
        <v>0</v>
      </c>
      <c r="DO12" s="12">
        <f t="shared" si="37"/>
        <v>0</v>
      </c>
      <c r="DP12" s="12">
        <f>DO12*72</f>
        <v>0</v>
      </c>
      <c r="DQ12" s="12">
        <f t="shared" si="38"/>
        <v>0</v>
      </c>
      <c r="DR12" s="12">
        <f>DQ12*72</f>
        <v>0</v>
      </c>
      <c r="DS12" s="12">
        <f t="shared" si="39"/>
        <v>0</v>
      </c>
      <c r="DT12" s="12">
        <f>DS12*72</f>
        <v>0</v>
      </c>
    </row>
    <row r="13" spans="1:129" ht="14.25" customHeight="1">
      <c r="A13" s="30">
        <v>9</v>
      </c>
      <c r="B13" s="13" t="s">
        <v>41</v>
      </c>
      <c r="C13" s="15" t="s">
        <v>32</v>
      </c>
      <c r="D13" s="95"/>
      <c r="E13" s="56">
        <v>0</v>
      </c>
      <c r="F13" s="50"/>
      <c r="G13" s="12"/>
      <c r="H13" s="12"/>
      <c r="I13" s="12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2">
        <f t="shared" si="0"/>
        <v>0</v>
      </c>
      <c r="AP13" s="17">
        <f>AO13*8000</f>
        <v>0</v>
      </c>
      <c r="AQ13" s="12">
        <f t="shared" si="1"/>
        <v>24000</v>
      </c>
      <c r="AR13" s="12"/>
      <c r="AS13" s="126">
        <f t="shared" si="61"/>
        <v>3</v>
      </c>
      <c r="AT13" s="56">
        <v>3</v>
      </c>
      <c r="AU13" s="50"/>
      <c r="AV13" s="12"/>
      <c r="AW13" s="12"/>
      <c r="AX13" s="12"/>
      <c r="AY13" s="12">
        <f t="shared" si="3"/>
        <v>0</v>
      </c>
      <c r="AZ13" s="12">
        <f t="shared" si="4"/>
        <v>0</v>
      </c>
      <c r="BA13" s="12">
        <f t="shared" si="5"/>
        <v>0</v>
      </c>
      <c r="BB13" s="12">
        <f t="shared" si="6"/>
        <v>0</v>
      </c>
      <c r="BC13" s="12">
        <f t="shared" si="7"/>
        <v>0</v>
      </c>
      <c r="BD13" s="12">
        <f t="shared" si="8"/>
        <v>0</v>
      </c>
      <c r="BE13" s="12">
        <f t="shared" si="9"/>
        <v>0</v>
      </c>
      <c r="BF13" s="12">
        <f t="shared" si="10"/>
        <v>0</v>
      </c>
      <c r="BG13" s="12">
        <f t="shared" si="11"/>
        <v>0</v>
      </c>
      <c r="BH13" s="12">
        <f t="shared" si="12"/>
        <v>0</v>
      </c>
      <c r="BI13" s="12">
        <f t="shared" si="13"/>
        <v>0</v>
      </c>
      <c r="BJ13" s="12">
        <f t="shared" si="14"/>
        <v>0</v>
      </c>
      <c r="BK13" s="12">
        <f t="shared" si="15"/>
        <v>0</v>
      </c>
      <c r="BL13" s="12">
        <f t="shared" si="16"/>
        <v>0</v>
      </c>
      <c r="BM13" s="12">
        <f t="shared" si="17"/>
        <v>0</v>
      </c>
      <c r="BN13" s="12">
        <f t="shared" si="18"/>
        <v>0</v>
      </c>
      <c r="BO13" s="12">
        <f t="shared" si="19"/>
        <v>0</v>
      </c>
      <c r="BP13" s="12">
        <f t="shared" si="20"/>
        <v>0</v>
      </c>
      <c r="BQ13" s="12">
        <f t="shared" si="21"/>
        <v>0</v>
      </c>
      <c r="BR13" s="12">
        <f t="shared" si="22"/>
        <v>0</v>
      </c>
      <c r="BS13" s="12">
        <f t="shared" si="23"/>
        <v>0</v>
      </c>
      <c r="BT13" s="12">
        <f t="shared" si="24"/>
        <v>0</v>
      </c>
      <c r="BU13" s="12">
        <f t="shared" si="25"/>
        <v>0</v>
      </c>
      <c r="BV13" s="12">
        <f t="shared" si="26"/>
        <v>0</v>
      </c>
      <c r="BW13" s="12">
        <f t="shared" si="27"/>
        <v>0</v>
      </c>
      <c r="BX13" s="12">
        <f t="shared" si="28"/>
        <v>0</v>
      </c>
      <c r="BY13" s="12">
        <f t="shared" si="29"/>
        <v>0</v>
      </c>
      <c r="BZ13" s="12">
        <f t="shared" si="30"/>
        <v>0</v>
      </c>
      <c r="CA13" s="12">
        <f t="shared" si="31"/>
        <v>0</v>
      </c>
      <c r="CB13" s="12">
        <f t="shared" si="32"/>
        <v>0</v>
      </c>
      <c r="CC13" s="12">
        <f t="shared" si="33"/>
        <v>0</v>
      </c>
      <c r="CD13" s="12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2"/>
      <c r="CQ13" s="17"/>
      <c r="CR13" s="17"/>
      <c r="CS13" s="17"/>
      <c r="CT13" s="17"/>
      <c r="CU13" s="17"/>
      <c r="CV13" s="12"/>
      <c r="CW13" s="17"/>
      <c r="CX13" s="17"/>
      <c r="CY13" s="17"/>
      <c r="CZ13" s="17"/>
      <c r="DA13" s="17"/>
      <c r="DB13" s="17"/>
      <c r="DC13" s="17"/>
      <c r="DD13" s="17"/>
      <c r="DE13" s="12"/>
      <c r="DF13" s="17"/>
      <c r="DG13" s="17"/>
      <c r="DH13" s="17"/>
      <c r="DI13" s="36">
        <f>(AT13+SUM(AU13:AX13)+SUM(AY13:CC13)-SUM(CD13:DH13))</f>
        <v>3</v>
      </c>
      <c r="DJ13" s="12">
        <f>DI13*8000</f>
        <v>24000</v>
      </c>
      <c r="DK13" s="12">
        <f t="shared" si="35"/>
        <v>0</v>
      </c>
      <c r="DL13" s="12">
        <f>DK13*8000</f>
        <v>0</v>
      </c>
      <c r="DM13" s="12">
        <f t="shared" si="36"/>
        <v>0</v>
      </c>
      <c r="DN13" s="12">
        <f>DM13*8000</f>
        <v>0</v>
      </c>
      <c r="DO13" s="12">
        <f t="shared" si="37"/>
        <v>0</v>
      </c>
      <c r="DP13" s="12">
        <f>DO13*8000</f>
        <v>0</v>
      </c>
      <c r="DQ13" s="12">
        <f t="shared" si="38"/>
        <v>0</v>
      </c>
      <c r="DR13" s="12">
        <f>DQ13*8000</f>
        <v>0</v>
      </c>
      <c r="DS13" s="12">
        <f t="shared" si="39"/>
        <v>0</v>
      </c>
      <c r="DT13" s="12">
        <f>DS13*8000</f>
        <v>0</v>
      </c>
      <c r="DV13" s="18"/>
      <c r="DW13" s="18"/>
      <c r="DX13" s="18"/>
      <c r="DY13" s="18"/>
    </row>
    <row r="14" spans="1:129" ht="14.25" customHeight="1">
      <c r="A14" s="12">
        <v>10</v>
      </c>
      <c r="B14" s="19" t="s">
        <v>42</v>
      </c>
      <c r="C14" s="14"/>
      <c r="D14" s="95"/>
      <c r="E14" s="56"/>
      <c r="F14" s="103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2"/>
      <c r="AP14" s="17"/>
      <c r="AQ14" s="12"/>
      <c r="AR14" s="17"/>
      <c r="AS14" s="126">
        <f t="shared" ref="AS14:AS26" si="64">DI14</f>
        <v>0</v>
      </c>
      <c r="AT14" s="56">
        <v>0</v>
      </c>
      <c r="AU14" s="50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2"/>
      <c r="CQ14" s="17"/>
      <c r="CR14" s="17"/>
      <c r="CS14" s="17"/>
      <c r="CT14" s="17"/>
      <c r="CU14" s="17"/>
      <c r="CV14" s="12"/>
      <c r="CW14" s="17"/>
      <c r="CX14" s="17"/>
      <c r="CY14" s="17"/>
      <c r="CZ14" s="17"/>
      <c r="DA14" s="17"/>
      <c r="DB14" s="17"/>
      <c r="DC14" s="17"/>
      <c r="DD14" s="17"/>
      <c r="DE14" s="12"/>
      <c r="DF14" s="17"/>
      <c r="DG14" s="17"/>
      <c r="DH14" s="17"/>
      <c r="DI14" s="36">
        <f>BW12</f>
        <v>0</v>
      </c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</row>
    <row r="15" spans="1:129" ht="14.25" customHeight="1">
      <c r="A15" s="12">
        <v>11</v>
      </c>
      <c r="B15" s="13" t="s">
        <v>43</v>
      </c>
      <c r="C15" s="14"/>
      <c r="D15" s="95"/>
      <c r="E15" s="56">
        <v>8</v>
      </c>
      <c r="F15" s="50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>
        <v>6</v>
      </c>
      <c r="R15" s="12"/>
      <c r="S15" s="12"/>
      <c r="T15" s="12"/>
      <c r="U15" s="12"/>
      <c r="V15" s="12"/>
      <c r="W15" s="12"/>
      <c r="X15" s="12"/>
      <c r="Y15" s="12"/>
      <c r="Z15" s="12">
        <v>1</v>
      </c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>
        <f>(E15+F15+G15+H15+I15-J15-K15-L15-M15-N15-O15-P15-Q15-R15-S15-T15-U15-V15-W15-X15-Y15-Z15-AA15-AB15-AC15-AD15-AE15-AF15-AG15-AH15-AI15-AJ15-AK15-AL15-AM15-AN15)</f>
        <v>1</v>
      </c>
      <c r="AP15" s="12">
        <f>AO15*6780</f>
        <v>6780</v>
      </c>
      <c r="AQ15" s="12">
        <f>AP15+DJ15</f>
        <v>81360</v>
      </c>
      <c r="AR15" s="29"/>
      <c r="AS15" s="126">
        <f t="shared" si="64"/>
        <v>132</v>
      </c>
      <c r="AT15" s="56">
        <v>48</v>
      </c>
      <c r="AU15" s="50"/>
      <c r="AV15" s="12"/>
      <c r="AW15" s="12"/>
      <c r="AX15" s="12"/>
      <c r="AY15" s="12">
        <f>J15*12</f>
        <v>0</v>
      </c>
      <c r="AZ15" s="12">
        <f t="shared" ref="AZ15:CC15" si="65">K15*12</f>
        <v>0</v>
      </c>
      <c r="BA15" s="12">
        <f t="shared" si="65"/>
        <v>0</v>
      </c>
      <c r="BB15" s="12">
        <f t="shared" si="65"/>
        <v>0</v>
      </c>
      <c r="BC15" s="12">
        <f t="shared" si="65"/>
        <v>0</v>
      </c>
      <c r="BD15" s="12">
        <f t="shared" si="65"/>
        <v>0</v>
      </c>
      <c r="BE15" s="12">
        <f t="shared" si="65"/>
        <v>0</v>
      </c>
      <c r="BF15" s="12">
        <f t="shared" si="65"/>
        <v>72</v>
      </c>
      <c r="BG15" s="12">
        <f t="shared" si="65"/>
        <v>0</v>
      </c>
      <c r="BH15" s="12">
        <f t="shared" si="65"/>
        <v>0</v>
      </c>
      <c r="BI15" s="12">
        <f t="shared" si="65"/>
        <v>0</v>
      </c>
      <c r="BJ15" s="12">
        <f t="shared" si="65"/>
        <v>0</v>
      </c>
      <c r="BK15" s="12">
        <f t="shared" si="65"/>
        <v>0</v>
      </c>
      <c r="BL15" s="12">
        <f t="shared" si="65"/>
        <v>0</v>
      </c>
      <c r="BM15" s="12">
        <f t="shared" si="65"/>
        <v>0</v>
      </c>
      <c r="BN15" s="12">
        <f t="shared" si="65"/>
        <v>0</v>
      </c>
      <c r="BO15" s="12">
        <f t="shared" si="65"/>
        <v>12</v>
      </c>
      <c r="BP15" s="12">
        <f t="shared" si="65"/>
        <v>0</v>
      </c>
      <c r="BQ15" s="12">
        <f t="shared" si="65"/>
        <v>0</v>
      </c>
      <c r="BR15" s="12">
        <f t="shared" si="65"/>
        <v>0</v>
      </c>
      <c r="BS15" s="12">
        <f t="shared" si="65"/>
        <v>0</v>
      </c>
      <c r="BT15" s="12">
        <f t="shared" si="65"/>
        <v>0</v>
      </c>
      <c r="BU15" s="12">
        <f t="shared" si="65"/>
        <v>0</v>
      </c>
      <c r="BV15" s="12">
        <f t="shared" si="65"/>
        <v>0</v>
      </c>
      <c r="BW15" s="12">
        <f t="shared" si="65"/>
        <v>0</v>
      </c>
      <c r="BX15" s="12">
        <f t="shared" si="65"/>
        <v>0</v>
      </c>
      <c r="BY15" s="12">
        <f t="shared" si="65"/>
        <v>0</v>
      </c>
      <c r="BZ15" s="12">
        <f t="shared" si="65"/>
        <v>0</v>
      </c>
      <c r="CA15" s="12">
        <f t="shared" si="65"/>
        <v>0</v>
      </c>
      <c r="CB15" s="12">
        <f t="shared" si="65"/>
        <v>0</v>
      </c>
      <c r="CC15" s="12">
        <f t="shared" si="65"/>
        <v>0</v>
      </c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36">
        <f>(AT15+SUM(AU15:AX15)*12+SUM(AY15:CC15)-SUM(CD15:DH15))</f>
        <v>132</v>
      </c>
      <c r="DJ15" s="12">
        <f>DI15*565</f>
        <v>74580</v>
      </c>
      <c r="DK15" s="12">
        <f t="shared" ref="DK15:DK18" si="66">SUM(CD15:CJ15)</f>
        <v>0</v>
      </c>
      <c r="DL15" s="12">
        <f>DK15*565</f>
        <v>0</v>
      </c>
      <c r="DM15" s="12">
        <f t="shared" ref="DM15:DM18" si="67">SUM(CK15:CQ15)</f>
        <v>0</v>
      </c>
      <c r="DN15" s="12">
        <f>DM15*565</f>
        <v>0</v>
      </c>
      <c r="DO15" s="12">
        <f t="shared" ref="DO15:DO18" si="68">SUM(CR15:CX15)</f>
        <v>0</v>
      </c>
      <c r="DP15" s="12">
        <f>DO15*565</f>
        <v>0</v>
      </c>
      <c r="DQ15" s="12">
        <f t="shared" ref="DQ15:DQ18" si="69">SUM(CY15:DH15)</f>
        <v>0</v>
      </c>
      <c r="DR15" s="12">
        <f>DQ15*565</f>
        <v>0</v>
      </c>
      <c r="DS15" s="12">
        <f t="shared" ref="DS15:DS18" si="70">DK15+DM15+DO15+DQ15</f>
        <v>0</v>
      </c>
      <c r="DT15" s="12">
        <f>DS15*565</f>
        <v>0</v>
      </c>
    </row>
    <row r="16" spans="1:129" ht="14.25" customHeight="1">
      <c r="A16" s="30">
        <v>12</v>
      </c>
      <c r="B16" s="13" t="s">
        <v>44</v>
      </c>
      <c r="C16" s="15" t="s">
        <v>32</v>
      </c>
      <c r="D16" s="95"/>
      <c r="E16" s="56">
        <v>0</v>
      </c>
      <c r="F16" s="50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>
        <f t="shared" ref="AO16:AO18" si="71">E16+F16+G16+H16+I16-J16-K16-L16-M16-N16-O16-P16-Q16-R16-S16-T16-U16-V16-W16-X16-Y16-Z16-AA16-AB16-AC16-AD16-AE16-AF16-AG16-AH16-AI16-AJ16-AK16-AL16-AM16-AN16</f>
        <v>0</v>
      </c>
      <c r="AP16" s="12">
        <f>AO16*1000</f>
        <v>0</v>
      </c>
      <c r="AQ16" s="12">
        <f>AP16+DJ16</f>
        <v>2000</v>
      </c>
      <c r="AR16" s="39"/>
      <c r="AS16" s="126">
        <f t="shared" si="64"/>
        <v>2</v>
      </c>
      <c r="AT16" s="56">
        <v>2</v>
      </c>
      <c r="AU16" s="50"/>
      <c r="AV16" s="12">
        <v>1</v>
      </c>
      <c r="AW16" s="12"/>
      <c r="AX16" s="12"/>
      <c r="AY16" s="12">
        <f t="shared" ref="AY16:BH18" si="72">J16</f>
        <v>0</v>
      </c>
      <c r="AZ16" s="12">
        <f t="shared" si="72"/>
        <v>0</v>
      </c>
      <c r="BA16" s="12">
        <f t="shared" si="72"/>
        <v>0</v>
      </c>
      <c r="BB16" s="12">
        <f t="shared" si="72"/>
        <v>0</v>
      </c>
      <c r="BC16" s="12">
        <f t="shared" si="72"/>
        <v>0</v>
      </c>
      <c r="BD16" s="12">
        <f t="shared" si="72"/>
        <v>0</v>
      </c>
      <c r="BE16" s="12">
        <f t="shared" si="72"/>
        <v>0</v>
      </c>
      <c r="BF16" s="12">
        <f t="shared" si="72"/>
        <v>0</v>
      </c>
      <c r="BG16" s="12">
        <f t="shared" si="72"/>
        <v>0</v>
      </c>
      <c r="BH16" s="12">
        <f t="shared" si="72"/>
        <v>0</v>
      </c>
      <c r="BI16" s="12">
        <f t="shared" ref="BI16:BR18" si="73">T16</f>
        <v>0</v>
      </c>
      <c r="BJ16" s="12">
        <f t="shared" si="73"/>
        <v>0</v>
      </c>
      <c r="BK16" s="12">
        <f t="shared" si="73"/>
        <v>0</v>
      </c>
      <c r="BL16" s="12">
        <f t="shared" si="73"/>
        <v>0</v>
      </c>
      <c r="BM16" s="12">
        <f t="shared" si="73"/>
        <v>0</v>
      </c>
      <c r="BN16" s="12">
        <f t="shared" si="73"/>
        <v>0</v>
      </c>
      <c r="BO16" s="12">
        <f t="shared" si="73"/>
        <v>0</v>
      </c>
      <c r="BP16" s="12">
        <f t="shared" si="73"/>
        <v>0</v>
      </c>
      <c r="BQ16" s="12">
        <f t="shared" si="73"/>
        <v>0</v>
      </c>
      <c r="BR16" s="12">
        <f t="shared" si="73"/>
        <v>0</v>
      </c>
      <c r="BS16" s="12">
        <f t="shared" ref="BS16:CB18" si="74">AD16</f>
        <v>0</v>
      </c>
      <c r="BT16" s="12">
        <f t="shared" si="74"/>
        <v>0</v>
      </c>
      <c r="BU16" s="12">
        <f t="shared" si="74"/>
        <v>0</v>
      </c>
      <c r="BV16" s="12">
        <f t="shared" si="74"/>
        <v>0</v>
      </c>
      <c r="BW16" s="12">
        <f t="shared" si="74"/>
        <v>0</v>
      </c>
      <c r="BX16" s="12">
        <f t="shared" si="74"/>
        <v>0</v>
      </c>
      <c r="BY16" s="12">
        <f t="shared" si="74"/>
        <v>0</v>
      </c>
      <c r="BZ16" s="12">
        <f t="shared" si="74"/>
        <v>0</v>
      </c>
      <c r="CA16" s="12">
        <f t="shared" si="74"/>
        <v>0</v>
      </c>
      <c r="CB16" s="12">
        <f t="shared" si="74"/>
        <v>0</v>
      </c>
      <c r="CC16" s="12">
        <f t="shared" ref="CC16:CC18" si="75">AN16</f>
        <v>0</v>
      </c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>
        <v>1</v>
      </c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36">
        <f t="shared" ref="DI16:DI22" si="76">(AT16+SUM(AU16:AX16)+SUM(AY16:CC16)-SUM(CD16:DH16))</f>
        <v>2</v>
      </c>
      <c r="DJ16" s="12">
        <f>DI16*1000</f>
        <v>2000</v>
      </c>
      <c r="DK16" s="12">
        <f t="shared" si="66"/>
        <v>0</v>
      </c>
      <c r="DL16" s="12">
        <f>DK16*1000</f>
        <v>0</v>
      </c>
      <c r="DM16" s="12">
        <f t="shared" si="67"/>
        <v>1</v>
      </c>
      <c r="DN16" s="12">
        <f>DM16*1000</f>
        <v>1000</v>
      </c>
      <c r="DO16" s="12">
        <f t="shared" si="68"/>
        <v>0</v>
      </c>
      <c r="DP16" s="12">
        <f>DO16*1000</f>
        <v>0</v>
      </c>
      <c r="DQ16" s="12">
        <f t="shared" si="69"/>
        <v>0</v>
      </c>
      <c r="DR16" s="12">
        <f>DQ16*1000</f>
        <v>0</v>
      </c>
      <c r="DS16" s="12">
        <f t="shared" si="70"/>
        <v>1</v>
      </c>
      <c r="DT16" s="12">
        <f>DS16*1000</f>
        <v>1000</v>
      </c>
    </row>
    <row r="17" spans="1:124" ht="14.25" customHeight="1">
      <c r="A17" s="12">
        <v>13</v>
      </c>
      <c r="B17" s="19" t="s">
        <v>45</v>
      </c>
      <c r="C17" s="14"/>
      <c r="D17" s="95"/>
      <c r="E17" s="56">
        <v>0</v>
      </c>
      <c r="F17" s="103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2">
        <f t="shared" si="71"/>
        <v>0</v>
      </c>
      <c r="AP17" s="17">
        <f>AO17*2000</f>
        <v>0</v>
      </c>
      <c r="AQ17" s="12">
        <f>AP17+DJ17</f>
        <v>2000</v>
      </c>
      <c r="AR17" s="20"/>
      <c r="AS17" s="126">
        <f t="shared" si="64"/>
        <v>1</v>
      </c>
      <c r="AT17" s="56">
        <v>1</v>
      </c>
      <c r="AU17" s="50"/>
      <c r="AV17" s="12"/>
      <c r="AW17" s="12"/>
      <c r="AX17" s="12"/>
      <c r="AY17" s="12">
        <f t="shared" si="72"/>
        <v>0</v>
      </c>
      <c r="AZ17" s="12">
        <f t="shared" si="72"/>
        <v>0</v>
      </c>
      <c r="BA17" s="12">
        <f t="shared" si="72"/>
        <v>0</v>
      </c>
      <c r="BB17" s="12">
        <f t="shared" si="72"/>
        <v>0</v>
      </c>
      <c r="BC17" s="12">
        <f t="shared" si="72"/>
        <v>0</v>
      </c>
      <c r="BD17" s="12">
        <f t="shared" si="72"/>
        <v>0</v>
      </c>
      <c r="BE17" s="12">
        <f t="shared" si="72"/>
        <v>0</v>
      </c>
      <c r="BF17" s="12">
        <f t="shared" si="72"/>
        <v>0</v>
      </c>
      <c r="BG17" s="12">
        <f t="shared" si="72"/>
        <v>0</v>
      </c>
      <c r="BH17" s="12">
        <f t="shared" si="72"/>
        <v>0</v>
      </c>
      <c r="BI17" s="12">
        <f t="shared" si="73"/>
        <v>0</v>
      </c>
      <c r="BJ17" s="12">
        <f t="shared" si="73"/>
        <v>0</v>
      </c>
      <c r="BK17" s="12">
        <f t="shared" si="73"/>
        <v>0</v>
      </c>
      <c r="BL17" s="12">
        <f t="shared" si="73"/>
        <v>0</v>
      </c>
      <c r="BM17" s="12">
        <f t="shared" si="73"/>
        <v>0</v>
      </c>
      <c r="BN17" s="12">
        <f t="shared" si="73"/>
        <v>0</v>
      </c>
      <c r="BO17" s="12">
        <f t="shared" si="73"/>
        <v>0</v>
      </c>
      <c r="BP17" s="12">
        <f t="shared" si="73"/>
        <v>0</v>
      </c>
      <c r="BQ17" s="12">
        <f t="shared" si="73"/>
        <v>0</v>
      </c>
      <c r="BR17" s="12">
        <f t="shared" si="73"/>
        <v>0</v>
      </c>
      <c r="BS17" s="12">
        <f t="shared" si="74"/>
        <v>0</v>
      </c>
      <c r="BT17" s="12">
        <f t="shared" si="74"/>
        <v>0</v>
      </c>
      <c r="BU17" s="12">
        <f t="shared" si="74"/>
        <v>0</v>
      </c>
      <c r="BV17" s="12">
        <f t="shared" si="74"/>
        <v>0</v>
      </c>
      <c r="BW17" s="12">
        <f t="shared" si="74"/>
        <v>0</v>
      </c>
      <c r="BX17" s="12">
        <f t="shared" si="74"/>
        <v>0</v>
      </c>
      <c r="BY17" s="12">
        <f t="shared" si="74"/>
        <v>0</v>
      </c>
      <c r="BZ17" s="12">
        <f t="shared" si="74"/>
        <v>0</v>
      </c>
      <c r="CA17" s="12">
        <f t="shared" si="74"/>
        <v>0</v>
      </c>
      <c r="CB17" s="12">
        <f t="shared" si="74"/>
        <v>0</v>
      </c>
      <c r="CC17" s="12">
        <f t="shared" si="75"/>
        <v>0</v>
      </c>
      <c r="CD17" s="12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2"/>
      <c r="CQ17" s="17"/>
      <c r="CR17" s="17"/>
      <c r="CS17" s="17"/>
      <c r="CT17" s="17"/>
      <c r="CU17" s="17"/>
      <c r="CV17" s="12"/>
      <c r="CW17" s="17"/>
      <c r="CX17" s="17"/>
      <c r="CY17" s="17"/>
      <c r="CZ17" s="17"/>
      <c r="DA17" s="17"/>
      <c r="DB17" s="17"/>
      <c r="DC17" s="17"/>
      <c r="DD17" s="17"/>
      <c r="DE17" s="12"/>
      <c r="DF17" s="17"/>
      <c r="DG17" s="17"/>
      <c r="DH17" s="17"/>
      <c r="DI17" s="36">
        <f t="shared" si="76"/>
        <v>1</v>
      </c>
      <c r="DJ17" s="12">
        <f>DI17*2000</f>
        <v>2000</v>
      </c>
      <c r="DK17" s="12">
        <f t="shared" si="66"/>
        <v>0</v>
      </c>
      <c r="DL17" s="12">
        <f>DK17*2000</f>
        <v>0</v>
      </c>
      <c r="DM17" s="12">
        <f t="shared" si="67"/>
        <v>0</v>
      </c>
      <c r="DN17" s="12">
        <f>DM17*2000</f>
        <v>0</v>
      </c>
      <c r="DO17" s="12">
        <f t="shared" si="68"/>
        <v>0</v>
      </c>
      <c r="DP17" s="12">
        <f>DO17*2000</f>
        <v>0</v>
      </c>
      <c r="DQ17" s="12">
        <f t="shared" si="69"/>
        <v>0</v>
      </c>
      <c r="DR17" s="12">
        <f>DQ17*2000</f>
        <v>0</v>
      </c>
      <c r="DS17" s="12">
        <f t="shared" si="70"/>
        <v>0</v>
      </c>
      <c r="DT17" s="12">
        <f>DS17*2000</f>
        <v>0</v>
      </c>
    </row>
    <row r="18" spans="1:124" ht="14.25" customHeight="1">
      <c r="A18" s="12">
        <v>14</v>
      </c>
      <c r="B18" s="13" t="s">
        <v>46</v>
      </c>
      <c r="C18" s="14"/>
      <c r="D18" s="95"/>
      <c r="E18" s="56">
        <v>6</v>
      </c>
      <c r="F18" s="50"/>
      <c r="G18" s="12">
        <v>3</v>
      </c>
      <c r="H18" s="12"/>
      <c r="I18" s="12"/>
      <c r="J18" s="12"/>
      <c r="K18" s="12"/>
      <c r="L18" s="12"/>
      <c r="M18" s="12"/>
      <c r="N18" s="12"/>
      <c r="O18" s="12"/>
      <c r="P18" s="12"/>
      <c r="Q18" s="12">
        <v>6</v>
      </c>
      <c r="R18" s="12"/>
      <c r="S18" s="12"/>
      <c r="T18" s="12"/>
      <c r="U18" s="12"/>
      <c r="V18" s="12"/>
      <c r="W18" s="12"/>
      <c r="X18" s="12"/>
      <c r="Y18" s="12"/>
      <c r="Z18" s="12">
        <v>3</v>
      </c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>
        <f t="shared" si="71"/>
        <v>0</v>
      </c>
      <c r="AP18" s="12">
        <f>AO18*1000</f>
        <v>0</v>
      </c>
      <c r="AQ18" s="12">
        <f>AP18+DJ18</f>
        <v>13000</v>
      </c>
      <c r="AR18" s="12"/>
      <c r="AS18" s="126">
        <f t="shared" si="64"/>
        <v>13</v>
      </c>
      <c r="AT18" s="56">
        <v>4</v>
      </c>
      <c r="AU18" s="50"/>
      <c r="AV18" s="12"/>
      <c r="AW18" s="12"/>
      <c r="AX18" s="12"/>
      <c r="AY18" s="12">
        <f t="shared" si="72"/>
        <v>0</v>
      </c>
      <c r="AZ18" s="12">
        <f t="shared" si="72"/>
        <v>0</v>
      </c>
      <c r="BA18" s="12">
        <f t="shared" si="72"/>
        <v>0</v>
      </c>
      <c r="BB18" s="12">
        <f t="shared" si="72"/>
        <v>0</v>
      </c>
      <c r="BC18" s="12">
        <f t="shared" si="72"/>
        <v>0</v>
      </c>
      <c r="BD18" s="12">
        <f t="shared" si="72"/>
        <v>0</v>
      </c>
      <c r="BE18" s="12">
        <f t="shared" si="72"/>
        <v>0</v>
      </c>
      <c r="BF18" s="12">
        <f t="shared" si="72"/>
        <v>6</v>
      </c>
      <c r="BG18" s="12">
        <f t="shared" si="72"/>
        <v>0</v>
      </c>
      <c r="BH18" s="12">
        <f t="shared" si="72"/>
        <v>0</v>
      </c>
      <c r="BI18" s="12">
        <f t="shared" si="73"/>
        <v>0</v>
      </c>
      <c r="BJ18" s="12">
        <f t="shared" si="73"/>
        <v>0</v>
      </c>
      <c r="BK18" s="12">
        <f t="shared" si="73"/>
        <v>0</v>
      </c>
      <c r="BL18" s="12">
        <f t="shared" si="73"/>
        <v>0</v>
      </c>
      <c r="BM18" s="12">
        <f t="shared" si="73"/>
        <v>0</v>
      </c>
      <c r="BN18" s="12">
        <f t="shared" si="73"/>
        <v>0</v>
      </c>
      <c r="BO18" s="12">
        <f t="shared" si="73"/>
        <v>3</v>
      </c>
      <c r="BP18" s="12">
        <f t="shared" si="73"/>
        <v>0</v>
      </c>
      <c r="BQ18" s="12">
        <f t="shared" si="73"/>
        <v>0</v>
      </c>
      <c r="BR18" s="12">
        <f t="shared" si="73"/>
        <v>0</v>
      </c>
      <c r="BS18" s="12">
        <f t="shared" si="74"/>
        <v>0</v>
      </c>
      <c r="BT18" s="12">
        <f t="shared" si="74"/>
        <v>0</v>
      </c>
      <c r="BU18" s="12">
        <f t="shared" si="74"/>
        <v>0</v>
      </c>
      <c r="BV18" s="12">
        <f t="shared" si="74"/>
        <v>0</v>
      </c>
      <c r="BW18" s="12">
        <f t="shared" si="74"/>
        <v>0</v>
      </c>
      <c r="BX18" s="12">
        <f t="shared" si="74"/>
        <v>0</v>
      </c>
      <c r="BY18" s="12">
        <f t="shared" si="74"/>
        <v>0</v>
      </c>
      <c r="BZ18" s="12">
        <f t="shared" si="74"/>
        <v>0</v>
      </c>
      <c r="CA18" s="12">
        <f t="shared" si="74"/>
        <v>0</v>
      </c>
      <c r="CB18" s="12">
        <f t="shared" si="74"/>
        <v>0</v>
      </c>
      <c r="CC18" s="12">
        <f t="shared" si="75"/>
        <v>0</v>
      </c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36">
        <f t="shared" si="76"/>
        <v>13</v>
      </c>
      <c r="DJ18" s="12">
        <f>DI18*1000</f>
        <v>13000</v>
      </c>
      <c r="DK18" s="12">
        <f t="shared" si="66"/>
        <v>0</v>
      </c>
      <c r="DL18" s="12">
        <f>DK18*1000</f>
        <v>0</v>
      </c>
      <c r="DM18" s="12">
        <f t="shared" si="67"/>
        <v>0</v>
      </c>
      <c r="DN18" s="12">
        <f>DM18*1000</f>
        <v>0</v>
      </c>
      <c r="DO18" s="12">
        <f t="shared" si="68"/>
        <v>0</v>
      </c>
      <c r="DP18" s="12">
        <f>DO18*1000</f>
        <v>0</v>
      </c>
      <c r="DQ18" s="12">
        <f t="shared" si="69"/>
        <v>0</v>
      </c>
      <c r="DR18" s="12">
        <f>DQ18*1000</f>
        <v>0</v>
      </c>
      <c r="DS18" s="12">
        <f t="shared" si="70"/>
        <v>0</v>
      </c>
      <c r="DT18" s="12">
        <f>DS18*1000</f>
        <v>0</v>
      </c>
    </row>
    <row r="19" spans="1:124" ht="14.25" customHeight="1">
      <c r="A19" s="12">
        <v>15</v>
      </c>
      <c r="B19" s="19" t="s">
        <v>47</v>
      </c>
      <c r="C19" s="14"/>
      <c r="D19" s="95"/>
      <c r="E19" s="56"/>
      <c r="F19" s="103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2"/>
      <c r="AP19" s="17"/>
      <c r="AQ19" s="12"/>
      <c r="AR19" s="17"/>
      <c r="AS19" s="126">
        <f t="shared" si="64"/>
        <v>0</v>
      </c>
      <c r="AT19" s="56">
        <v>0</v>
      </c>
      <c r="AU19" s="50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2"/>
      <c r="CQ19" s="17"/>
      <c r="CR19" s="17"/>
      <c r="CS19" s="17"/>
      <c r="CT19" s="17"/>
      <c r="CU19" s="17"/>
      <c r="CV19" s="12"/>
      <c r="CW19" s="17"/>
      <c r="CX19" s="17"/>
      <c r="CY19" s="17"/>
      <c r="CZ19" s="17"/>
      <c r="DA19" s="17"/>
      <c r="DB19" s="17"/>
      <c r="DC19" s="17"/>
      <c r="DD19" s="17"/>
      <c r="DE19" s="12"/>
      <c r="DF19" s="17"/>
      <c r="DG19" s="17"/>
      <c r="DH19" s="17"/>
      <c r="DI19" s="36">
        <f t="shared" si="76"/>
        <v>0</v>
      </c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</row>
    <row r="20" spans="1:124" ht="14.25" customHeight="1">
      <c r="A20" s="12">
        <v>16</v>
      </c>
      <c r="B20" s="19" t="s">
        <v>48</v>
      </c>
      <c r="C20" s="14"/>
      <c r="D20" s="95"/>
      <c r="E20" s="56">
        <v>0</v>
      </c>
      <c r="F20" s="103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2">
        <f t="shared" ref="AO20:AO39" si="77">E20+F20+G20+H20+I20-J20-K20-L20-M20-N20-O20-P20-Q20-R20-S20-T20-U20-V20-W20-X20-Y20-Z20-AA20-AB20-AC20-AD20-AE20-AF20-AG20-AH20-AI20-AJ20-AK20-AL20-AM20-AN20</f>
        <v>0</v>
      </c>
      <c r="AP20" s="17">
        <f>AO20*1000</f>
        <v>0</v>
      </c>
      <c r="AQ20" s="12">
        <f>AP20+DJ20</f>
        <v>0</v>
      </c>
      <c r="AR20" s="17"/>
      <c r="AS20" s="126">
        <f t="shared" si="64"/>
        <v>0</v>
      </c>
      <c r="AT20" s="56">
        <v>0</v>
      </c>
      <c r="AU20" s="50"/>
      <c r="AV20" s="12"/>
      <c r="AW20" s="12"/>
      <c r="AX20" s="12"/>
      <c r="AY20" s="12">
        <f t="shared" ref="AY20:AY39" si="78">J20</f>
        <v>0</v>
      </c>
      <c r="AZ20" s="12">
        <f t="shared" ref="AZ20:AZ39" si="79">K20</f>
        <v>0</v>
      </c>
      <c r="BA20" s="12">
        <f t="shared" ref="BA20:BA39" si="80">L20</f>
        <v>0</v>
      </c>
      <c r="BB20" s="12">
        <f t="shared" ref="BB20:BB39" si="81">M20</f>
        <v>0</v>
      </c>
      <c r="BC20" s="12">
        <f t="shared" ref="BC20:BC39" si="82">N20</f>
        <v>0</v>
      </c>
      <c r="BD20" s="12">
        <f t="shared" ref="BD20:BD39" si="83">O20</f>
        <v>0</v>
      </c>
      <c r="BE20" s="12">
        <f t="shared" ref="BE20:BE39" si="84">P20</f>
        <v>0</v>
      </c>
      <c r="BF20" s="12">
        <f t="shared" ref="BF20:BF39" si="85">Q20</f>
        <v>0</v>
      </c>
      <c r="BG20" s="12">
        <f t="shared" ref="BG20:BG39" si="86">R20</f>
        <v>0</v>
      </c>
      <c r="BH20" s="12">
        <f t="shared" ref="BH20:BH39" si="87">S20</f>
        <v>0</v>
      </c>
      <c r="BI20" s="12">
        <f t="shared" ref="BI20:BI39" si="88">T20</f>
        <v>0</v>
      </c>
      <c r="BJ20" s="12">
        <f t="shared" ref="BJ20:BJ39" si="89">U20</f>
        <v>0</v>
      </c>
      <c r="BK20" s="12">
        <f t="shared" ref="BK20:BK39" si="90">V20</f>
        <v>0</v>
      </c>
      <c r="BL20" s="12">
        <f t="shared" ref="BL20:BL39" si="91">W20</f>
        <v>0</v>
      </c>
      <c r="BM20" s="12">
        <f t="shared" ref="BM20:BM39" si="92">X20</f>
        <v>0</v>
      </c>
      <c r="BN20" s="12">
        <f t="shared" ref="BN20:BN39" si="93">Y20</f>
        <v>0</v>
      </c>
      <c r="BO20" s="12">
        <f t="shared" ref="BO20:BO39" si="94">Z20</f>
        <v>0</v>
      </c>
      <c r="BP20" s="12">
        <f t="shared" ref="BP20:BP39" si="95">AA20</f>
        <v>0</v>
      </c>
      <c r="BQ20" s="12">
        <f t="shared" ref="BQ20:BQ39" si="96">AB20</f>
        <v>0</v>
      </c>
      <c r="BR20" s="12">
        <f t="shared" ref="BR20:BR39" si="97">AC20</f>
        <v>0</v>
      </c>
      <c r="BS20" s="12">
        <f t="shared" ref="BS20:BS39" si="98">AD20</f>
        <v>0</v>
      </c>
      <c r="BT20" s="12">
        <f t="shared" ref="BT20:BT39" si="99">AE20</f>
        <v>0</v>
      </c>
      <c r="BU20" s="12">
        <f t="shared" ref="BU20:BU39" si="100">AF20</f>
        <v>0</v>
      </c>
      <c r="BV20" s="12">
        <f t="shared" ref="BV20:BV39" si="101">AG20</f>
        <v>0</v>
      </c>
      <c r="BW20" s="12">
        <f t="shared" ref="BW20:BW39" si="102">AH20</f>
        <v>0</v>
      </c>
      <c r="BX20" s="12">
        <f t="shared" ref="BX20:BX39" si="103">AI20</f>
        <v>0</v>
      </c>
      <c r="BY20" s="12">
        <f t="shared" ref="BY20:BY39" si="104">AJ20</f>
        <v>0</v>
      </c>
      <c r="BZ20" s="12">
        <f t="shared" ref="BZ20:BZ39" si="105">AK20</f>
        <v>0</v>
      </c>
      <c r="CA20" s="12">
        <f t="shared" ref="CA20:CA39" si="106">AL20</f>
        <v>0</v>
      </c>
      <c r="CB20" s="12">
        <f t="shared" ref="CB20:CB39" si="107">AM20</f>
        <v>0</v>
      </c>
      <c r="CC20" s="12">
        <f t="shared" ref="CC20:CC39" si="108">AN20</f>
        <v>0</v>
      </c>
      <c r="CD20" s="12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2"/>
      <c r="CQ20" s="17"/>
      <c r="CR20" s="17"/>
      <c r="CS20" s="17"/>
      <c r="CT20" s="17"/>
      <c r="CU20" s="17"/>
      <c r="CV20" s="12"/>
      <c r="CW20" s="17"/>
      <c r="CX20" s="17"/>
      <c r="CY20" s="17"/>
      <c r="CZ20" s="17"/>
      <c r="DA20" s="17"/>
      <c r="DB20" s="17"/>
      <c r="DC20" s="17"/>
      <c r="DD20" s="17"/>
      <c r="DE20" s="12"/>
      <c r="DF20" s="17"/>
      <c r="DG20" s="17"/>
      <c r="DH20" s="17"/>
      <c r="DI20" s="36">
        <f t="shared" si="76"/>
        <v>0</v>
      </c>
      <c r="DJ20" s="12">
        <f>DI20*1000</f>
        <v>0</v>
      </c>
      <c r="DK20" s="12">
        <f t="shared" ref="DK20:DK39" si="109">SUM(CD20:CJ20)</f>
        <v>0</v>
      </c>
      <c r="DL20" s="12">
        <f>DK20*1000</f>
        <v>0</v>
      </c>
      <c r="DM20" s="12">
        <f t="shared" ref="DM20:DM39" si="110">SUM(CK20:CQ20)</f>
        <v>0</v>
      </c>
      <c r="DN20" s="12">
        <f>DM20*1000</f>
        <v>0</v>
      </c>
      <c r="DO20" s="12">
        <f t="shared" ref="DO20:DO39" si="111">SUM(CR20:CX20)</f>
        <v>0</v>
      </c>
      <c r="DP20" s="12">
        <f>DO20*1000</f>
        <v>0</v>
      </c>
      <c r="DQ20" s="12">
        <f t="shared" ref="DQ20:DQ39" si="112">SUM(CY20:DH20)</f>
        <v>0</v>
      </c>
      <c r="DR20" s="12">
        <f>DQ20*1000</f>
        <v>0</v>
      </c>
      <c r="DS20" s="12">
        <f t="shared" ref="DS20:DS39" si="113">DK20+DM20+DO20+DQ20</f>
        <v>0</v>
      </c>
      <c r="DT20" s="12">
        <f>DS20*1000</f>
        <v>0</v>
      </c>
    </row>
    <row r="21" spans="1:124" ht="14.25" customHeight="1">
      <c r="A21" s="30">
        <v>17</v>
      </c>
      <c r="B21" s="19" t="s">
        <v>49</v>
      </c>
      <c r="C21" s="15" t="s">
        <v>32</v>
      </c>
      <c r="D21" s="95"/>
      <c r="E21" s="56">
        <v>0</v>
      </c>
      <c r="F21" s="103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2">
        <f t="shared" si="77"/>
        <v>0</v>
      </c>
      <c r="AP21" s="151">
        <f>(AO21*488)+(AO22*365)</f>
        <v>0</v>
      </c>
      <c r="AQ21" s="151">
        <f>AP21+AP22+DJ21+DJ22</f>
        <v>1952</v>
      </c>
      <c r="AR21" s="20" t="s">
        <v>50</v>
      </c>
      <c r="AS21" s="126">
        <f t="shared" si="64"/>
        <v>4</v>
      </c>
      <c r="AT21" s="56">
        <v>5</v>
      </c>
      <c r="AU21" s="50"/>
      <c r="AV21" s="12"/>
      <c r="AW21" s="12"/>
      <c r="AX21" s="12"/>
      <c r="AY21" s="12">
        <f t="shared" si="78"/>
        <v>0</v>
      </c>
      <c r="AZ21" s="12">
        <f t="shared" si="79"/>
        <v>0</v>
      </c>
      <c r="BA21" s="12">
        <f t="shared" si="80"/>
        <v>0</v>
      </c>
      <c r="BB21" s="12">
        <f t="shared" si="81"/>
        <v>0</v>
      </c>
      <c r="BC21" s="12">
        <f t="shared" si="82"/>
        <v>0</v>
      </c>
      <c r="BD21" s="12">
        <f t="shared" si="83"/>
        <v>0</v>
      </c>
      <c r="BE21" s="12">
        <f t="shared" si="84"/>
        <v>0</v>
      </c>
      <c r="BF21" s="12">
        <f t="shared" si="85"/>
        <v>0</v>
      </c>
      <c r="BG21" s="12">
        <f t="shared" si="86"/>
        <v>0</v>
      </c>
      <c r="BH21" s="12">
        <f t="shared" si="87"/>
        <v>0</v>
      </c>
      <c r="BI21" s="12">
        <f t="shared" si="88"/>
        <v>0</v>
      </c>
      <c r="BJ21" s="12">
        <f t="shared" si="89"/>
        <v>0</v>
      </c>
      <c r="BK21" s="12">
        <f t="shared" si="90"/>
        <v>0</v>
      </c>
      <c r="BL21" s="12">
        <f t="shared" si="91"/>
        <v>0</v>
      </c>
      <c r="BM21" s="12">
        <f t="shared" si="92"/>
        <v>0</v>
      </c>
      <c r="BN21" s="12">
        <f t="shared" si="93"/>
        <v>0</v>
      </c>
      <c r="BO21" s="12">
        <f t="shared" si="94"/>
        <v>0</v>
      </c>
      <c r="BP21" s="12">
        <f t="shared" si="95"/>
        <v>0</v>
      </c>
      <c r="BQ21" s="12">
        <f t="shared" si="96"/>
        <v>0</v>
      </c>
      <c r="BR21" s="12">
        <f t="shared" si="97"/>
        <v>0</v>
      </c>
      <c r="BS21" s="12">
        <f t="shared" si="98"/>
        <v>0</v>
      </c>
      <c r="BT21" s="12">
        <f t="shared" si="99"/>
        <v>0</v>
      </c>
      <c r="BU21" s="12">
        <f t="shared" si="100"/>
        <v>0</v>
      </c>
      <c r="BV21" s="12">
        <f t="shared" si="101"/>
        <v>0</v>
      </c>
      <c r="BW21" s="12">
        <f t="shared" si="102"/>
        <v>0</v>
      </c>
      <c r="BX21" s="12">
        <f t="shared" si="103"/>
        <v>0</v>
      </c>
      <c r="BY21" s="12">
        <f t="shared" si="104"/>
        <v>0</v>
      </c>
      <c r="BZ21" s="12">
        <f t="shared" si="105"/>
        <v>0</v>
      </c>
      <c r="CA21" s="12">
        <f t="shared" si="106"/>
        <v>0</v>
      </c>
      <c r="CB21" s="12">
        <f t="shared" si="107"/>
        <v>0</v>
      </c>
      <c r="CC21" s="12">
        <f t="shared" si="108"/>
        <v>0</v>
      </c>
      <c r="CD21" s="12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>
        <v>1</v>
      </c>
      <c r="CP21" s="12"/>
      <c r="CQ21" s="17"/>
      <c r="CR21" s="17"/>
      <c r="CS21" s="17"/>
      <c r="CT21" s="17"/>
      <c r="CU21" s="17"/>
      <c r="CV21" s="12"/>
      <c r="CW21" s="17"/>
      <c r="CX21" s="17"/>
      <c r="CY21" s="17"/>
      <c r="CZ21" s="17"/>
      <c r="DA21" s="17"/>
      <c r="DB21" s="17"/>
      <c r="DC21" s="17"/>
      <c r="DD21" s="17"/>
      <c r="DE21" s="12"/>
      <c r="DF21" s="17"/>
      <c r="DG21" s="17"/>
      <c r="DH21" s="17"/>
      <c r="DI21" s="36">
        <f t="shared" si="76"/>
        <v>4</v>
      </c>
      <c r="DJ21" s="151">
        <f>(DI21*488)+(DI22*365)</f>
        <v>1952</v>
      </c>
      <c r="DK21" s="12">
        <f t="shared" si="109"/>
        <v>0</v>
      </c>
      <c r="DL21" s="12">
        <f>DK21*488</f>
        <v>0</v>
      </c>
      <c r="DM21" s="12">
        <f t="shared" si="110"/>
        <v>1</v>
      </c>
      <c r="DN21" s="12">
        <f>DM21*488</f>
        <v>488</v>
      </c>
      <c r="DO21" s="12">
        <f t="shared" si="111"/>
        <v>0</v>
      </c>
      <c r="DP21" s="12">
        <f>DO21*488</f>
        <v>0</v>
      </c>
      <c r="DQ21" s="12">
        <f t="shared" si="112"/>
        <v>0</v>
      </c>
      <c r="DR21" s="12">
        <f>DQ21*488</f>
        <v>0</v>
      </c>
      <c r="DS21" s="12">
        <f t="shared" si="113"/>
        <v>1</v>
      </c>
      <c r="DT21" s="151">
        <f>(DS21*488)+(DS22*365)</f>
        <v>488</v>
      </c>
    </row>
    <row r="22" spans="1:124" ht="14.25" customHeight="1">
      <c r="A22" s="30">
        <v>18</v>
      </c>
      <c r="B22" s="13" t="s">
        <v>51</v>
      </c>
      <c r="C22" s="15" t="s">
        <v>32</v>
      </c>
      <c r="D22" s="95"/>
      <c r="E22" s="56">
        <v>0</v>
      </c>
      <c r="F22" s="50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>
        <f t="shared" si="77"/>
        <v>0</v>
      </c>
      <c r="AP22" s="152"/>
      <c r="AQ22" s="152"/>
      <c r="AR22" s="12"/>
      <c r="AS22" s="126">
        <f t="shared" si="64"/>
        <v>0</v>
      </c>
      <c r="AT22" s="56">
        <v>0</v>
      </c>
      <c r="AU22" s="50"/>
      <c r="AV22" s="12"/>
      <c r="AW22" s="12"/>
      <c r="AX22" s="12"/>
      <c r="AY22" s="12">
        <f t="shared" si="78"/>
        <v>0</v>
      </c>
      <c r="AZ22" s="12">
        <f t="shared" si="79"/>
        <v>0</v>
      </c>
      <c r="BA22" s="12">
        <f t="shared" si="80"/>
        <v>0</v>
      </c>
      <c r="BB22" s="12">
        <f t="shared" si="81"/>
        <v>0</v>
      </c>
      <c r="BC22" s="12">
        <f t="shared" si="82"/>
        <v>0</v>
      </c>
      <c r="BD22" s="12">
        <f t="shared" si="83"/>
        <v>0</v>
      </c>
      <c r="BE22" s="12">
        <f t="shared" si="84"/>
        <v>0</v>
      </c>
      <c r="BF22" s="12">
        <f t="shared" si="85"/>
        <v>0</v>
      </c>
      <c r="BG22" s="12">
        <f t="shared" si="86"/>
        <v>0</v>
      </c>
      <c r="BH22" s="12">
        <f t="shared" si="87"/>
        <v>0</v>
      </c>
      <c r="BI22" s="12">
        <f t="shared" si="88"/>
        <v>0</v>
      </c>
      <c r="BJ22" s="12">
        <f t="shared" si="89"/>
        <v>0</v>
      </c>
      <c r="BK22" s="12">
        <f t="shared" si="90"/>
        <v>0</v>
      </c>
      <c r="BL22" s="12">
        <f t="shared" si="91"/>
        <v>0</v>
      </c>
      <c r="BM22" s="12">
        <f t="shared" si="92"/>
        <v>0</v>
      </c>
      <c r="BN22" s="12">
        <f t="shared" si="93"/>
        <v>0</v>
      </c>
      <c r="BO22" s="12">
        <f t="shared" si="94"/>
        <v>0</v>
      </c>
      <c r="BP22" s="12">
        <f t="shared" si="95"/>
        <v>0</v>
      </c>
      <c r="BQ22" s="12">
        <f t="shared" si="96"/>
        <v>0</v>
      </c>
      <c r="BR22" s="12">
        <f t="shared" si="97"/>
        <v>0</v>
      </c>
      <c r="BS22" s="12">
        <f t="shared" si="98"/>
        <v>0</v>
      </c>
      <c r="BT22" s="12">
        <f t="shared" si="99"/>
        <v>0</v>
      </c>
      <c r="BU22" s="12">
        <f t="shared" si="100"/>
        <v>0</v>
      </c>
      <c r="BV22" s="12">
        <f t="shared" si="101"/>
        <v>0</v>
      </c>
      <c r="BW22" s="12">
        <f t="shared" si="102"/>
        <v>0</v>
      </c>
      <c r="BX22" s="12">
        <f t="shared" si="103"/>
        <v>0</v>
      </c>
      <c r="BY22" s="12">
        <f t="shared" si="104"/>
        <v>0</v>
      </c>
      <c r="BZ22" s="12">
        <f t="shared" si="105"/>
        <v>0</v>
      </c>
      <c r="CA22" s="12">
        <f t="shared" si="106"/>
        <v>0</v>
      </c>
      <c r="CB22" s="12">
        <f t="shared" si="107"/>
        <v>0</v>
      </c>
      <c r="CC22" s="12">
        <f t="shared" si="108"/>
        <v>0</v>
      </c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36">
        <f t="shared" si="76"/>
        <v>0</v>
      </c>
      <c r="DJ22" s="152"/>
      <c r="DK22" s="12">
        <f t="shared" si="109"/>
        <v>0</v>
      </c>
      <c r="DL22" s="12">
        <f>DK22*365</f>
        <v>0</v>
      </c>
      <c r="DM22" s="12">
        <f t="shared" si="110"/>
        <v>0</v>
      </c>
      <c r="DN22" s="12">
        <f>DM22*365</f>
        <v>0</v>
      </c>
      <c r="DO22" s="12">
        <f t="shared" si="111"/>
        <v>0</v>
      </c>
      <c r="DP22" s="12">
        <f>DO22*365</f>
        <v>0</v>
      </c>
      <c r="DQ22" s="12">
        <f t="shared" si="112"/>
        <v>0</v>
      </c>
      <c r="DR22" s="12">
        <f>DQ22*365</f>
        <v>0</v>
      </c>
      <c r="DS22" s="12">
        <f t="shared" si="113"/>
        <v>0</v>
      </c>
      <c r="DT22" s="152"/>
    </row>
    <row r="23" spans="1:124" ht="14.25" customHeight="1">
      <c r="A23" s="30">
        <v>19</v>
      </c>
      <c r="B23" s="13" t="s">
        <v>52</v>
      </c>
      <c r="C23" s="15" t="s">
        <v>32</v>
      </c>
      <c r="D23" s="95"/>
      <c r="E23" s="56">
        <v>0</v>
      </c>
      <c r="F23" s="50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>
        <f t="shared" si="77"/>
        <v>0</v>
      </c>
      <c r="AP23" s="151">
        <f>(AO23*946)+(AO24*1000)</f>
        <v>0</v>
      </c>
      <c r="AQ23" s="151">
        <f>AP23+AP24+DJ23+DJ24</f>
        <v>54110</v>
      </c>
      <c r="AR23" s="29"/>
      <c r="AS23" s="126">
        <f t="shared" si="64"/>
        <v>35</v>
      </c>
      <c r="AT23" s="56">
        <v>67</v>
      </c>
      <c r="AU23" s="50">
        <v>2</v>
      </c>
      <c r="AV23" s="12"/>
      <c r="AW23" s="12"/>
      <c r="AX23" s="12"/>
      <c r="AY23" s="12">
        <f>J23*12</f>
        <v>0</v>
      </c>
      <c r="AZ23" s="12">
        <f t="shared" ref="AZ23:CC23" si="114">K23*12</f>
        <v>0</v>
      </c>
      <c r="BA23" s="12">
        <f t="shared" si="114"/>
        <v>0</v>
      </c>
      <c r="BB23" s="12">
        <f t="shared" si="114"/>
        <v>0</v>
      </c>
      <c r="BC23" s="12">
        <f t="shared" si="114"/>
        <v>0</v>
      </c>
      <c r="BD23" s="12">
        <f t="shared" si="114"/>
        <v>0</v>
      </c>
      <c r="BE23" s="12">
        <f t="shared" si="114"/>
        <v>0</v>
      </c>
      <c r="BF23" s="12">
        <f t="shared" si="114"/>
        <v>0</v>
      </c>
      <c r="BG23" s="12">
        <f t="shared" si="114"/>
        <v>0</v>
      </c>
      <c r="BH23" s="12">
        <f t="shared" si="114"/>
        <v>0</v>
      </c>
      <c r="BI23" s="12">
        <f t="shared" si="114"/>
        <v>0</v>
      </c>
      <c r="BJ23" s="12">
        <f t="shared" si="114"/>
        <v>0</v>
      </c>
      <c r="BK23" s="12">
        <f t="shared" si="114"/>
        <v>0</v>
      </c>
      <c r="BL23" s="12">
        <f t="shared" si="114"/>
        <v>0</v>
      </c>
      <c r="BM23" s="12">
        <f t="shared" si="114"/>
        <v>0</v>
      </c>
      <c r="BN23" s="12">
        <f t="shared" si="114"/>
        <v>0</v>
      </c>
      <c r="BO23" s="12">
        <f t="shared" si="114"/>
        <v>0</v>
      </c>
      <c r="BP23" s="12">
        <f t="shared" si="114"/>
        <v>0</v>
      </c>
      <c r="BQ23" s="12">
        <f t="shared" si="114"/>
        <v>0</v>
      </c>
      <c r="BR23" s="12">
        <f t="shared" si="114"/>
        <v>0</v>
      </c>
      <c r="BS23" s="12">
        <f t="shared" si="114"/>
        <v>0</v>
      </c>
      <c r="BT23" s="12">
        <f t="shared" si="114"/>
        <v>0</v>
      </c>
      <c r="BU23" s="12">
        <f t="shared" si="114"/>
        <v>0</v>
      </c>
      <c r="BV23" s="12">
        <f t="shared" si="114"/>
        <v>0</v>
      </c>
      <c r="BW23" s="12">
        <f t="shared" si="114"/>
        <v>0</v>
      </c>
      <c r="BX23" s="12">
        <f t="shared" si="114"/>
        <v>0</v>
      </c>
      <c r="BY23" s="12">
        <f t="shared" si="114"/>
        <v>0</v>
      </c>
      <c r="BZ23" s="12">
        <f t="shared" si="114"/>
        <v>0</v>
      </c>
      <c r="CA23" s="12">
        <f t="shared" si="114"/>
        <v>0</v>
      </c>
      <c r="CB23" s="12">
        <f t="shared" si="114"/>
        <v>0</v>
      </c>
      <c r="CC23" s="12">
        <f t="shared" si="114"/>
        <v>0</v>
      </c>
      <c r="CD23" s="12"/>
      <c r="CE23" s="12"/>
      <c r="CF23" s="12"/>
      <c r="CG23" s="12">
        <v>10</v>
      </c>
      <c r="CH23" s="12"/>
      <c r="CI23" s="12"/>
      <c r="CJ23" s="12"/>
      <c r="CK23" s="12"/>
      <c r="CL23" s="12"/>
      <c r="CM23" s="12"/>
      <c r="CN23" s="12">
        <v>23</v>
      </c>
      <c r="CO23" s="12"/>
      <c r="CP23" s="12"/>
      <c r="CQ23" s="12"/>
      <c r="CR23" s="12"/>
      <c r="CS23" s="12"/>
      <c r="CT23" s="12">
        <v>23</v>
      </c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36">
        <f>(AT23+SUM(AU23:AX23)*12+SUM(AY23:CC23)-SUM(CD23:DH23))</f>
        <v>35</v>
      </c>
      <c r="DJ23" s="151">
        <f>(DI23*946)+(DI24*1000)</f>
        <v>54110</v>
      </c>
      <c r="DK23" s="12">
        <f t="shared" si="109"/>
        <v>10</v>
      </c>
      <c r="DL23" s="12">
        <f>DK23*946</f>
        <v>9460</v>
      </c>
      <c r="DM23" s="12">
        <f t="shared" si="110"/>
        <v>23</v>
      </c>
      <c r="DN23" s="12">
        <f>DM23*946</f>
        <v>21758</v>
      </c>
      <c r="DO23" s="12">
        <f t="shared" si="111"/>
        <v>23</v>
      </c>
      <c r="DP23" s="12">
        <f>DO23*946</f>
        <v>21758</v>
      </c>
      <c r="DQ23" s="12">
        <f t="shared" si="112"/>
        <v>0</v>
      </c>
      <c r="DR23" s="12">
        <f>DQ23*946</f>
        <v>0</v>
      </c>
      <c r="DS23" s="12">
        <f t="shared" si="113"/>
        <v>56</v>
      </c>
      <c r="DT23" s="151">
        <f>(DS23*946)+(DS24*1000)</f>
        <v>106976</v>
      </c>
    </row>
    <row r="24" spans="1:124" ht="14.25" customHeight="1">
      <c r="A24" s="30">
        <v>20</v>
      </c>
      <c r="B24" s="19" t="s">
        <v>53</v>
      </c>
      <c r="C24" s="15" t="s">
        <v>32</v>
      </c>
      <c r="D24" s="95"/>
      <c r="E24" s="56">
        <v>0</v>
      </c>
      <c r="F24" s="103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2">
        <f t="shared" si="77"/>
        <v>0</v>
      </c>
      <c r="AP24" s="152"/>
      <c r="AQ24" s="152"/>
      <c r="AR24" s="17"/>
      <c r="AS24" s="126">
        <f t="shared" si="64"/>
        <v>21</v>
      </c>
      <c r="AT24" s="56">
        <v>51</v>
      </c>
      <c r="AU24" s="50">
        <v>2</v>
      </c>
      <c r="AV24" s="12">
        <v>2</v>
      </c>
      <c r="AW24" s="12"/>
      <c r="AX24" s="12"/>
      <c r="AY24" s="12">
        <f>J24*6</f>
        <v>0</v>
      </c>
      <c r="AZ24" s="12">
        <f t="shared" ref="AZ24:CC24" si="115">K24*6</f>
        <v>0</v>
      </c>
      <c r="BA24" s="12">
        <f t="shared" si="115"/>
        <v>0</v>
      </c>
      <c r="BB24" s="12">
        <f t="shared" si="115"/>
        <v>0</v>
      </c>
      <c r="BC24" s="12">
        <f t="shared" si="115"/>
        <v>0</v>
      </c>
      <c r="BD24" s="12">
        <f t="shared" si="115"/>
        <v>0</v>
      </c>
      <c r="BE24" s="12">
        <f t="shared" si="115"/>
        <v>0</v>
      </c>
      <c r="BF24" s="12">
        <f t="shared" si="115"/>
        <v>0</v>
      </c>
      <c r="BG24" s="12">
        <f t="shared" si="115"/>
        <v>0</v>
      </c>
      <c r="BH24" s="12">
        <f t="shared" si="115"/>
        <v>0</v>
      </c>
      <c r="BI24" s="12">
        <f t="shared" si="115"/>
        <v>0</v>
      </c>
      <c r="BJ24" s="12">
        <f t="shared" si="115"/>
        <v>0</v>
      </c>
      <c r="BK24" s="12">
        <f t="shared" si="115"/>
        <v>0</v>
      </c>
      <c r="BL24" s="12">
        <f t="shared" si="115"/>
        <v>0</v>
      </c>
      <c r="BM24" s="12">
        <f t="shared" si="115"/>
        <v>0</v>
      </c>
      <c r="BN24" s="12">
        <f t="shared" si="115"/>
        <v>0</v>
      </c>
      <c r="BO24" s="12">
        <f t="shared" si="115"/>
        <v>0</v>
      </c>
      <c r="BP24" s="12">
        <f t="shared" si="115"/>
        <v>0</v>
      </c>
      <c r="BQ24" s="12">
        <f t="shared" si="115"/>
        <v>0</v>
      </c>
      <c r="BR24" s="12">
        <f t="shared" si="115"/>
        <v>0</v>
      </c>
      <c r="BS24" s="12">
        <f t="shared" si="115"/>
        <v>0</v>
      </c>
      <c r="BT24" s="12">
        <f t="shared" si="115"/>
        <v>0</v>
      </c>
      <c r="BU24" s="12">
        <f t="shared" si="115"/>
        <v>0</v>
      </c>
      <c r="BV24" s="12">
        <f t="shared" si="115"/>
        <v>0</v>
      </c>
      <c r="BW24" s="12">
        <f t="shared" si="115"/>
        <v>0</v>
      </c>
      <c r="BX24" s="12">
        <f t="shared" si="115"/>
        <v>0</v>
      </c>
      <c r="BY24" s="12">
        <f t="shared" si="115"/>
        <v>0</v>
      </c>
      <c r="BZ24" s="12">
        <f t="shared" si="115"/>
        <v>0</v>
      </c>
      <c r="CA24" s="12">
        <f t="shared" si="115"/>
        <v>0</v>
      </c>
      <c r="CB24" s="12">
        <f t="shared" si="115"/>
        <v>0</v>
      </c>
      <c r="CC24" s="12">
        <f t="shared" si="115"/>
        <v>0</v>
      </c>
      <c r="CD24" s="12"/>
      <c r="CE24" s="17"/>
      <c r="CF24" s="17"/>
      <c r="CG24" s="17">
        <v>9</v>
      </c>
      <c r="CH24" s="17"/>
      <c r="CI24" s="17"/>
      <c r="CJ24" s="17"/>
      <c r="CK24" s="17"/>
      <c r="CL24" s="17"/>
      <c r="CM24" s="17"/>
      <c r="CN24" s="17">
        <v>24</v>
      </c>
      <c r="CO24" s="17"/>
      <c r="CP24" s="12"/>
      <c r="CQ24" s="17"/>
      <c r="CR24" s="17"/>
      <c r="CS24" s="17"/>
      <c r="CT24" s="17">
        <v>21</v>
      </c>
      <c r="CU24" s="17"/>
      <c r="CV24" s="12"/>
      <c r="CW24" s="17"/>
      <c r="CX24" s="17"/>
      <c r="CY24" s="17"/>
      <c r="CZ24" s="17"/>
      <c r="DA24" s="17"/>
      <c r="DB24" s="17"/>
      <c r="DC24" s="17"/>
      <c r="DD24" s="17"/>
      <c r="DE24" s="12"/>
      <c r="DF24" s="17"/>
      <c r="DG24" s="17"/>
      <c r="DH24" s="17"/>
      <c r="DI24" s="36">
        <f>(AT24+SUM(AU24:AX24)*6+SUM(AY24:CC24)-SUM(CD24:DH24))</f>
        <v>21</v>
      </c>
      <c r="DJ24" s="152"/>
      <c r="DK24" s="12">
        <f t="shared" si="109"/>
        <v>9</v>
      </c>
      <c r="DL24" s="12">
        <f t="shared" ref="DL24:DL25" si="116">DK24*1000</f>
        <v>9000</v>
      </c>
      <c r="DM24" s="12">
        <f t="shared" si="110"/>
        <v>24</v>
      </c>
      <c r="DN24" s="12">
        <f t="shared" ref="DN24:DN25" si="117">DM24*1000</f>
        <v>24000</v>
      </c>
      <c r="DO24" s="12">
        <f t="shared" si="111"/>
        <v>21</v>
      </c>
      <c r="DP24" s="12">
        <f t="shared" ref="DP24:DP25" si="118">DO24*1000</f>
        <v>21000</v>
      </c>
      <c r="DQ24" s="12">
        <f t="shared" si="112"/>
        <v>0</v>
      </c>
      <c r="DR24" s="12">
        <f t="shared" ref="DR24:DR25" si="119">DQ24*1000</f>
        <v>0</v>
      </c>
      <c r="DS24" s="12">
        <f t="shared" si="113"/>
        <v>54</v>
      </c>
      <c r="DT24" s="152"/>
    </row>
    <row r="25" spans="1:124" ht="14.25" customHeight="1">
      <c r="A25" s="30">
        <v>21</v>
      </c>
      <c r="B25" s="19" t="s">
        <v>54</v>
      </c>
      <c r="C25" s="15" t="s">
        <v>32</v>
      </c>
      <c r="D25" s="97" t="s">
        <v>55</v>
      </c>
      <c r="E25" s="56">
        <v>0</v>
      </c>
      <c r="F25" s="103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2">
        <f t="shared" si="77"/>
        <v>0</v>
      </c>
      <c r="AP25" s="17">
        <f>AO25*1000</f>
        <v>0</v>
      </c>
      <c r="AQ25" s="12">
        <f t="shared" ref="AQ25:AQ30" si="120">AP25+DJ25</f>
        <v>11000</v>
      </c>
      <c r="AR25" s="20"/>
      <c r="AS25" s="126">
        <f t="shared" si="64"/>
        <v>11</v>
      </c>
      <c r="AT25" s="56">
        <v>0</v>
      </c>
      <c r="AU25" s="50"/>
      <c r="AV25" s="12">
        <v>1</v>
      </c>
      <c r="AW25" s="12"/>
      <c r="AX25" s="12"/>
      <c r="AY25" s="12">
        <f t="shared" si="78"/>
        <v>0</v>
      </c>
      <c r="AZ25" s="12">
        <f t="shared" si="79"/>
        <v>0</v>
      </c>
      <c r="BA25" s="12">
        <f t="shared" si="80"/>
        <v>0</v>
      </c>
      <c r="BB25" s="12">
        <f t="shared" si="81"/>
        <v>0</v>
      </c>
      <c r="BC25" s="12">
        <f t="shared" si="82"/>
        <v>0</v>
      </c>
      <c r="BD25" s="12">
        <f t="shared" si="83"/>
        <v>0</v>
      </c>
      <c r="BE25" s="12">
        <f t="shared" si="84"/>
        <v>0</v>
      </c>
      <c r="BF25" s="12">
        <f t="shared" si="85"/>
        <v>0</v>
      </c>
      <c r="BG25" s="12">
        <f t="shared" si="86"/>
        <v>0</v>
      </c>
      <c r="BH25" s="12">
        <f t="shared" si="87"/>
        <v>0</v>
      </c>
      <c r="BI25" s="12">
        <f t="shared" si="88"/>
        <v>0</v>
      </c>
      <c r="BJ25" s="12">
        <f t="shared" si="89"/>
        <v>0</v>
      </c>
      <c r="BK25" s="12">
        <f t="shared" si="90"/>
        <v>0</v>
      </c>
      <c r="BL25" s="12">
        <f t="shared" si="91"/>
        <v>0</v>
      </c>
      <c r="BM25" s="12">
        <f t="shared" si="92"/>
        <v>0</v>
      </c>
      <c r="BN25" s="12">
        <f t="shared" si="93"/>
        <v>0</v>
      </c>
      <c r="BO25" s="12">
        <f t="shared" si="94"/>
        <v>0</v>
      </c>
      <c r="BP25" s="12">
        <f t="shared" si="95"/>
        <v>0</v>
      </c>
      <c r="BQ25" s="12">
        <f t="shared" si="96"/>
        <v>0</v>
      </c>
      <c r="BR25" s="12">
        <f t="shared" si="97"/>
        <v>0</v>
      </c>
      <c r="BS25" s="12">
        <f t="shared" si="98"/>
        <v>0</v>
      </c>
      <c r="BT25" s="12">
        <f t="shared" si="99"/>
        <v>0</v>
      </c>
      <c r="BU25" s="12">
        <f t="shared" si="100"/>
        <v>0</v>
      </c>
      <c r="BV25" s="12">
        <f t="shared" si="101"/>
        <v>0</v>
      </c>
      <c r="BW25" s="12">
        <f t="shared" si="102"/>
        <v>0</v>
      </c>
      <c r="BX25" s="12">
        <f t="shared" si="103"/>
        <v>0</v>
      </c>
      <c r="BY25" s="12">
        <f t="shared" si="104"/>
        <v>0</v>
      </c>
      <c r="BZ25" s="12">
        <f t="shared" si="105"/>
        <v>0</v>
      </c>
      <c r="CA25" s="12">
        <f t="shared" si="106"/>
        <v>0</v>
      </c>
      <c r="CB25" s="12">
        <f t="shared" si="107"/>
        <v>0</v>
      </c>
      <c r="CC25" s="12">
        <f t="shared" si="108"/>
        <v>0</v>
      </c>
      <c r="CD25" s="12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2"/>
      <c r="CQ25" s="17"/>
      <c r="CR25" s="17"/>
      <c r="CS25" s="17"/>
      <c r="CT25" s="17">
        <v>1</v>
      </c>
      <c r="CU25" s="17"/>
      <c r="CV25" s="12"/>
      <c r="CW25" s="17"/>
      <c r="CX25" s="17"/>
      <c r="CY25" s="17"/>
      <c r="CZ25" s="17"/>
      <c r="DA25" s="17"/>
      <c r="DB25" s="17"/>
      <c r="DC25" s="17"/>
      <c r="DD25" s="17"/>
      <c r="DE25" s="12"/>
      <c r="DF25" s="17"/>
      <c r="DG25" s="17"/>
      <c r="DH25" s="17"/>
      <c r="DI25" s="36">
        <f>(AT25+SUM(AU25:AX25)*12+SUM(AY25:CC25)-SUM(CD25:DH25))</f>
        <v>11</v>
      </c>
      <c r="DJ25" s="12">
        <f>DI25*1000</f>
        <v>11000</v>
      </c>
      <c r="DK25" s="12">
        <f t="shared" si="109"/>
        <v>0</v>
      </c>
      <c r="DL25" s="12">
        <f t="shared" si="116"/>
        <v>0</v>
      </c>
      <c r="DM25" s="12">
        <f t="shared" si="110"/>
        <v>0</v>
      </c>
      <c r="DN25" s="12">
        <f t="shared" si="117"/>
        <v>0</v>
      </c>
      <c r="DO25" s="12">
        <f t="shared" si="111"/>
        <v>1</v>
      </c>
      <c r="DP25" s="12">
        <f t="shared" si="118"/>
        <v>1000</v>
      </c>
      <c r="DQ25" s="12">
        <f t="shared" si="112"/>
        <v>0</v>
      </c>
      <c r="DR25" s="12">
        <f t="shared" si="119"/>
        <v>0</v>
      </c>
      <c r="DS25" s="12">
        <f t="shared" si="113"/>
        <v>1</v>
      </c>
      <c r="DT25" s="12">
        <f>DS25*1000</f>
        <v>1000</v>
      </c>
    </row>
    <row r="26" spans="1:124" ht="14.25" customHeight="1">
      <c r="A26" s="12">
        <v>22</v>
      </c>
      <c r="B26" s="21" t="s">
        <v>56</v>
      </c>
      <c r="C26" s="14"/>
      <c r="D26" s="95"/>
      <c r="E26" s="56">
        <v>12</v>
      </c>
      <c r="F26" s="103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2">
        <f t="shared" si="77"/>
        <v>12</v>
      </c>
      <c r="AP26" s="17">
        <f>AO26*100</f>
        <v>1200</v>
      </c>
      <c r="AQ26" s="12">
        <f t="shared" si="120"/>
        <v>2900</v>
      </c>
      <c r="AR26" s="20"/>
      <c r="AS26" s="126">
        <f t="shared" si="64"/>
        <v>17</v>
      </c>
      <c r="AT26" s="56">
        <v>17</v>
      </c>
      <c r="AU26" s="50"/>
      <c r="AV26" s="12"/>
      <c r="AW26" s="12"/>
      <c r="AX26" s="12"/>
      <c r="AY26" s="12">
        <f t="shared" si="78"/>
        <v>0</v>
      </c>
      <c r="AZ26" s="12">
        <f t="shared" si="79"/>
        <v>0</v>
      </c>
      <c r="BA26" s="12">
        <f t="shared" si="80"/>
        <v>0</v>
      </c>
      <c r="BB26" s="12">
        <f t="shared" si="81"/>
        <v>0</v>
      </c>
      <c r="BC26" s="12">
        <f t="shared" si="82"/>
        <v>0</v>
      </c>
      <c r="BD26" s="12">
        <f t="shared" si="83"/>
        <v>0</v>
      </c>
      <c r="BE26" s="12">
        <f t="shared" si="84"/>
        <v>0</v>
      </c>
      <c r="BF26" s="12">
        <f t="shared" si="85"/>
        <v>0</v>
      </c>
      <c r="BG26" s="12">
        <f t="shared" si="86"/>
        <v>0</v>
      </c>
      <c r="BH26" s="12">
        <f t="shared" si="87"/>
        <v>0</v>
      </c>
      <c r="BI26" s="12">
        <f t="shared" si="88"/>
        <v>0</v>
      </c>
      <c r="BJ26" s="12">
        <f t="shared" si="89"/>
        <v>0</v>
      </c>
      <c r="BK26" s="12">
        <f t="shared" si="90"/>
        <v>0</v>
      </c>
      <c r="BL26" s="12">
        <f t="shared" si="91"/>
        <v>0</v>
      </c>
      <c r="BM26" s="12">
        <f t="shared" si="92"/>
        <v>0</v>
      </c>
      <c r="BN26" s="12">
        <f t="shared" si="93"/>
        <v>0</v>
      </c>
      <c r="BO26" s="12">
        <f t="shared" si="94"/>
        <v>0</v>
      </c>
      <c r="BP26" s="12">
        <f t="shared" si="95"/>
        <v>0</v>
      </c>
      <c r="BQ26" s="12">
        <f t="shared" si="96"/>
        <v>0</v>
      </c>
      <c r="BR26" s="12">
        <f t="shared" si="97"/>
        <v>0</v>
      </c>
      <c r="BS26" s="12">
        <f t="shared" si="98"/>
        <v>0</v>
      </c>
      <c r="BT26" s="12">
        <f t="shared" si="99"/>
        <v>0</v>
      </c>
      <c r="BU26" s="12">
        <f t="shared" si="100"/>
        <v>0</v>
      </c>
      <c r="BV26" s="12">
        <f t="shared" si="101"/>
        <v>0</v>
      </c>
      <c r="BW26" s="12">
        <f t="shared" si="102"/>
        <v>0</v>
      </c>
      <c r="BX26" s="12">
        <f t="shared" si="103"/>
        <v>0</v>
      </c>
      <c r="BY26" s="12">
        <f t="shared" si="104"/>
        <v>0</v>
      </c>
      <c r="BZ26" s="12">
        <f t="shared" si="105"/>
        <v>0</v>
      </c>
      <c r="CA26" s="12">
        <f t="shared" si="106"/>
        <v>0</v>
      </c>
      <c r="CB26" s="12">
        <f t="shared" si="107"/>
        <v>0</v>
      </c>
      <c r="CC26" s="12">
        <f t="shared" si="108"/>
        <v>0</v>
      </c>
      <c r="CD26" s="12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2"/>
      <c r="CQ26" s="17"/>
      <c r="CR26" s="17"/>
      <c r="CS26" s="17"/>
      <c r="CT26" s="17"/>
      <c r="CU26" s="17"/>
      <c r="CV26" s="12"/>
      <c r="CW26" s="17"/>
      <c r="CX26" s="17"/>
      <c r="CY26" s="17"/>
      <c r="CZ26" s="17"/>
      <c r="DA26" s="17"/>
      <c r="DB26" s="17"/>
      <c r="DC26" s="17"/>
      <c r="DD26" s="17"/>
      <c r="DE26" s="12"/>
      <c r="DF26" s="17"/>
      <c r="DG26" s="17"/>
      <c r="DH26" s="17"/>
      <c r="DI26" s="36">
        <f>(AT26+SUM(AU26:AX26)+SUM(AY26:CC26)-SUM(CD26:DH26))</f>
        <v>17</v>
      </c>
      <c r="DJ26" s="12">
        <f>DI26*100</f>
        <v>1700</v>
      </c>
      <c r="DK26" s="12">
        <f t="shared" si="109"/>
        <v>0</v>
      </c>
      <c r="DL26" s="12">
        <f>DK26*100</f>
        <v>0</v>
      </c>
      <c r="DM26" s="12">
        <f t="shared" si="110"/>
        <v>0</v>
      </c>
      <c r="DN26" s="12">
        <f>DM26*100</f>
        <v>0</v>
      </c>
      <c r="DO26" s="12">
        <f t="shared" si="111"/>
        <v>0</v>
      </c>
      <c r="DP26" s="12">
        <f>DO26*100</f>
        <v>0</v>
      </c>
      <c r="DQ26" s="12">
        <f t="shared" si="112"/>
        <v>0</v>
      </c>
      <c r="DR26" s="12">
        <f>DQ26*100</f>
        <v>0</v>
      </c>
      <c r="DS26" s="12">
        <f t="shared" si="113"/>
        <v>0</v>
      </c>
      <c r="DT26" s="12">
        <f>DS26*100</f>
        <v>0</v>
      </c>
    </row>
    <row r="27" spans="1:124" ht="14.25" customHeight="1">
      <c r="A27" s="12">
        <v>23</v>
      </c>
      <c r="B27" s="21" t="s">
        <v>57</v>
      </c>
      <c r="C27" s="14"/>
      <c r="D27" s="95"/>
      <c r="E27" s="56">
        <v>1</v>
      </c>
      <c r="F27" s="103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2">
        <f t="shared" si="77"/>
        <v>1</v>
      </c>
      <c r="AP27" s="17">
        <f>AO27*500</f>
        <v>500</v>
      </c>
      <c r="AQ27" s="12">
        <f t="shared" si="120"/>
        <v>2500</v>
      </c>
      <c r="AR27" s="20" t="s">
        <v>58</v>
      </c>
      <c r="AS27" s="126">
        <f t="shared" ref="AS27:AS44" si="121">DI27</f>
        <v>4</v>
      </c>
      <c r="AT27" s="56">
        <v>4</v>
      </c>
      <c r="AU27" s="50"/>
      <c r="AV27" s="12"/>
      <c r="AW27" s="12"/>
      <c r="AX27" s="12"/>
      <c r="AY27" s="12">
        <f t="shared" si="78"/>
        <v>0</v>
      </c>
      <c r="AZ27" s="12">
        <f t="shared" si="79"/>
        <v>0</v>
      </c>
      <c r="BA27" s="12">
        <f t="shared" si="80"/>
        <v>0</v>
      </c>
      <c r="BB27" s="12">
        <f t="shared" si="81"/>
        <v>0</v>
      </c>
      <c r="BC27" s="12">
        <f t="shared" si="82"/>
        <v>0</v>
      </c>
      <c r="BD27" s="12">
        <f t="shared" si="83"/>
        <v>0</v>
      </c>
      <c r="BE27" s="12">
        <f t="shared" si="84"/>
        <v>0</v>
      </c>
      <c r="BF27" s="12">
        <f t="shared" si="85"/>
        <v>0</v>
      </c>
      <c r="BG27" s="12">
        <f t="shared" si="86"/>
        <v>0</v>
      </c>
      <c r="BH27" s="12">
        <f t="shared" si="87"/>
        <v>0</v>
      </c>
      <c r="BI27" s="12">
        <f t="shared" si="88"/>
        <v>0</v>
      </c>
      <c r="BJ27" s="12">
        <f t="shared" si="89"/>
        <v>0</v>
      </c>
      <c r="BK27" s="12">
        <f t="shared" si="90"/>
        <v>0</v>
      </c>
      <c r="BL27" s="12">
        <f t="shared" si="91"/>
        <v>0</v>
      </c>
      <c r="BM27" s="12">
        <f t="shared" si="92"/>
        <v>0</v>
      </c>
      <c r="BN27" s="12">
        <f t="shared" si="93"/>
        <v>0</v>
      </c>
      <c r="BO27" s="12">
        <f t="shared" si="94"/>
        <v>0</v>
      </c>
      <c r="BP27" s="12">
        <f t="shared" si="95"/>
        <v>0</v>
      </c>
      <c r="BQ27" s="12">
        <f t="shared" si="96"/>
        <v>0</v>
      </c>
      <c r="BR27" s="12">
        <f t="shared" si="97"/>
        <v>0</v>
      </c>
      <c r="BS27" s="12">
        <f t="shared" si="98"/>
        <v>0</v>
      </c>
      <c r="BT27" s="12">
        <f t="shared" si="99"/>
        <v>0</v>
      </c>
      <c r="BU27" s="12">
        <f t="shared" si="100"/>
        <v>0</v>
      </c>
      <c r="BV27" s="12">
        <f t="shared" si="101"/>
        <v>0</v>
      </c>
      <c r="BW27" s="12">
        <f t="shared" si="102"/>
        <v>0</v>
      </c>
      <c r="BX27" s="12">
        <f t="shared" si="103"/>
        <v>0</v>
      </c>
      <c r="BY27" s="12">
        <f t="shared" si="104"/>
        <v>0</v>
      </c>
      <c r="BZ27" s="12">
        <f t="shared" si="105"/>
        <v>0</v>
      </c>
      <c r="CA27" s="12">
        <f t="shared" si="106"/>
        <v>0</v>
      </c>
      <c r="CB27" s="12">
        <f t="shared" si="107"/>
        <v>0</v>
      </c>
      <c r="CC27" s="12">
        <f t="shared" si="108"/>
        <v>0</v>
      </c>
      <c r="CD27" s="12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2"/>
      <c r="CQ27" s="17"/>
      <c r="CR27" s="17"/>
      <c r="CS27" s="17"/>
      <c r="CT27" s="17"/>
      <c r="CU27" s="17"/>
      <c r="CV27" s="12"/>
      <c r="CW27" s="17"/>
      <c r="CX27" s="17"/>
      <c r="CY27" s="17"/>
      <c r="CZ27" s="17"/>
      <c r="DA27" s="17"/>
      <c r="DB27" s="17"/>
      <c r="DC27" s="17"/>
      <c r="DD27" s="17"/>
      <c r="DE27" s="12"/>
      <c r="DF27" s="17"/>
      <c r="DG27" s="17"/>
      <c r="DH27" s="17"/>
      <c r="DI27" s="36">
        <f>(AT27+SUM(AU27:AX27)+SUM(AY27:CC27)-SUM(CD27:DH27))</f>
        <v>4</v>
      </c>
      <c r="DJ27" s="12">
        <f>DI27*500</f>
        <v>2000</v>
      </c>
      <c r="DK27" s="12">
        <f t="shared" si="109"/>
        <v>0</v>
      </c>
      <c r="DL27" s="12">
        <f>DK27*500</f>
        <v>0</v>
      </c>
      <c r="DM27" s="12">
        <f t="shared" si="110"/>
        <v>0</v>
      </c>
      <c r="DN27" s="12">
        <f>DM27*500</f>
        <v>0</v>
      </c>
      <c r="DO27" s="12">
        <f t="shared" si="111"/>
        <v>0</v>
      </c>
      <c r="DP27" s="12">
        <f>DO27*500</f>
        <v>0</v>
      </c>
      <c r="DQ27" s="12">
        <f t="shared" si="112"/>
        <v>0</v>
      </c>
      <c r="DR27" s="12">
        <f>DQ27*500</f>
        <v>0</v>
      </c>
      <c r="DS27" s="12">
        <f t="shared" si="113"/>
        <v>0</v>
      </c>
      <c r="DT27" s="12">
        <f>DS27*500</f>
        <v>0</v>
      </c>
    </row>
    <row r="28" spans="1:124" ht="14.25" customHeight="1">
      <c r="A28" s="12">
        <v>24</v>
      </c>
      <c r="B28" s="19" t="s">
        <v>59</v>
      </c>
      <c r="C28" s="15" t="s">
        <v>32</v>
      </c>
      <c r="D28" s="95"/>
      <c r="E28" s="56">
        <v>0</v>
      </c>
      <c r="F28" s="103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2">
        <f t="shared" si="77"/>
        <v>0</v>
      </c>
      <c r="AP28" s="17">
        <f>AO28</f>
        <v>0</v>
      </c>
      <c r="AQ28" s="12">
        <f t="shared" si="120"/>
        <v>0</v>
      </c>
      <c r="AR28" s="17"/>
      <c r="AS28" s="126">
        <f t="shared" si="121"/>
        <v>0</v>
      </c>
      <c r="AT28" s="56">
        <v>0</v>
      </c>
      <c r="AU28" s="50"/>
      <c r="AV28" s="12"/>
      <c r="AW28" s="12"/>
      <c r="AX28" s="12"/>
      <c r="AY28" s="12">
        <f>J28</f>
        <v>0</v>
      </c>
      <c r="AZ28" s="12">
        <f t="shared" si="79"/>
        <v>0</v>
      </c>
      <c r="BA28" s="12">
        <f t="shared" si="80"/>
        <v>0</v>
      </c>
      <c r="BB28" s="12">
        <f t="shared" si="81"/>
        <v>0</v>
      </c>
      <c r="BC28" s="12">
        <f t="shared" si="82"/>
        <v>0</v>
      </c>
      <c r="BD28" s="12">
        <f t="shared" si="83"/>
        <v>0</v>
      </c>
      <c r="BE28" s="12">
        <f t="shared" si="84"/>
        <v>0</v>
      </c>
      <c r="BF28" s="12">
        <f t="shared" si="85"/>
        <v>0</v>
      </c>
      <c r="BG28" s="12">
        <f t="shared" si="86"/>
        <v>0</v>
      </c>
      <c r="BH28" s="12">
        <f t="shared" si="87"/>
        <v>0</v>
      </c>
      <c r="BI28" s="12">
        <f t="shared" si="88"/>
        <v>0</v>
      </c>
      <c r="BJ28" s="12">
        <f t="shared" si="89"/>
        <v>0</v>
      </c>
      <c r="BK28" s="12">
        <f t="shared" si="90"/>
        <v>0</v>
      </c>
      <c r="BL28" s="12">
        <f t="shared" si="91"/>
        <v>0</v>
      </c>
      <c r="BM28" s="12">
        <f t="shared" si="92"/>
        <v>0</v>
      </c>
      <c r="BN28" s="12">
        <f t="shared" si="93"/>
        <v>0</v>
      </c>
      <c r="BO28" s="12">
        <f t="shared" si="94"/>
        <v>0</v>
      </c>
      <c r="BP28" s="12">
        <f t="shared" si="95"/>
        <v>0</v>
      </c>
      <c r="BQ28" s="12">
        <f t="shared" si="96"/>
        <v>0</v>
      </c>
      <c r="BR28" s="12">
        <f t="shared" si="97"/>
        <v>0</v>
      </c>
      <c r="BS28" s="12">
        <f t="shared" si="98"/>
        <v>0</v>
      </c>
      <c r="BT28" s="12">
        <f t="shared" si="99"/>
        <v>0</v>
      </c>
      <c r="BU28" s="12">
        <f t="shared" si="100"/>
        <v>0</v>
      </c>
      <c r="BV28" s="12">
        <f t="shared" si="101"/>
        <v>0</v>
      </c>
      <c r="BW28" s="12">
        <f t="shared" si="102"/>
        <v>0</v>
      </c>
      <c r="BX28" s="12">
        <f t="shared" si="103"/>
        <v>0</v>
      </c>
      <c r="BY28" s="12">
        <f t="shared" si="104"/>
        <v>0</v>
      </c>
      <c r="BZ28" s="12">
        <f t="shared" si="105"/>
        <v>0</v>
      </c>
      <c r="CA28" s="12">
        <f t="shared" si="106"/>
        <v>0</v>
      </c>
      <c r="CB28" s="12">
        <f t="shared" si="107"/>
        <v>0</v>
      </c>
      <c r="CC28" s="12">
        <f t="shared" si="108"/>
        <v>0</v>
      </c>
      <c r="CD28" s="12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2"/>
      <c r="CQ28" s="17"/>
      <c r="CR28" s="17"/>
      <c r="CS28" s="17"/>
      <c r="CT28" s="17"/>
      <c r="CU28" s="17"/>
      <c r="CV28" s="12"/>
      <c r="CW28" s="17"/>
      <c r="CX28" s="17"/>
      <c r="CY28" s="17"/>
      <c r="CZ28" s="17"/>
      <c r="DA28" s="17"/>
      <c r="DB28" s="17"/>
      <c r="DC28" s="17"/>
      <c r="DD28" s="17"/>
      <c r="DE28" s="12"/>
      <c r="DF28" s="17"/>
      <c r="DG28" s="17"/>
      <c r="DH28" s="17"/>
      <c r="DI28" s="36">
        <f>(AT28+SUM(AU28:AX28)*120+SUM(AY28:CC28)-SUM(CD28:DH28))</f>
        <v>0</v>
      </c>
      <c r="DJ28" s="12">
        <f>DI28</f>
        <v>0</v>
      </c>
      <c r="DK28" s="12">
        <f t="shared" si="109"/>
        <v>0</v>
      </c>
      <c r="DL28" s="12">
        <f>DK28</f>
        <v>0</v>
      </c>
      <c r="DM28" s="12">
        <f t="shared" si="110"/>
        <v>0</v>
      </c>
      <c r="DN28" s="12">
        <f>DM28</f>
        <v>0</v>
      </c>
      <c r="DO28" s="12">
        <f t="shared" si="111"/>
        <v>0</v>
      </c>
      <c r="DP28" s="12">
        <f>DO28</f>
        <v>0</v>
      </c>
      <c r="DQ28" s="12">
        <f t="shared" si="112"/>
        <v>0</v>
      </c>
      <c r="DR28" s="12">
        <f>DQ28</f>
        <v>0</v>
      </c>
      <c r="DS28" s="12">
        <f t="shared" si="113"/>
        <v>0</v>
      </c>
      <c r="DT28" s="12">
        <f>DS28</f>
        <v>0</v>
      </c>
    </row>
    <row r="29" spans="1:124" ht="14.25" customHeight="1">
      <c r="A29" s="12">
        <v>25</v>
      </c>
      <c r="B29" s="21" t="s">
        <v>60</v>
      </c>
      <c r="C29" s="14"/>
      <c r="D29" s="95"/>
      <c r="E29" s="56">
        <v>5</v>
      </c>
      <c r="F29" s="103"/>
      <c r="G29" s="17"/>
      <c r="H29" s="17"/>
      <c r="I29" s="17"/>
      <c r="J29" s="17">
        <v>4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2">
        <f>(E29+F29+G29+H29+I29-J29-K29-L29-M29-N29-O29-P29-Q29-R29-S29-T29-U29-V29-W29-X29-Y29-Z29-AA29-AB29-AC29-AD29-AE29-AF29-AG29-AH29-AI29-AJ29-AK29-AL29-AM29-AN29)</f>
        <v>1</v>
      </c>
      <c r="AP29" s="17">
        <f>AO29*12000</f>
        <v>12000</v>
      </c>
      <c r="AQ29" s="12">
        <f t="shared" si="120"/>
        <v>69000</v>
      </c>
      <c r="AR29" s="17"/>
      <c r="AS29" s="126">
        <f t="shared" si="121"/>
        <v>57</v>
      </c>
      <c r="AT29" s="56">
        <v>9</v>
      </c>
      <c r="AU29" s="50"/>
      <c r="AV29" s="12"/>
      <c r="AW29" s="12"/>
      <c r="AX29" s="12"/>
      <c r="AY29" s="12">
        <f>J29*12</f>
        <v>48</v>
      </c>
      <c r="AZ29" s="12">
        <f t="shared" ref="AZ29:CC29" si="122">K29*12</f>
        <v>0</v>
      </c>
      <c r="BA29" s="12">
        <f t="shared" si="122"/>
        <v>0</v>
      </c>
      <c r="BB29" s="12">
        <f t="shared" si="122"/>
        <v>0</v>
      </c>
      <c r="BC29" s="12">
        <f t="shared" si="122"/>
        <v>0</v>
      </c>
      <c r="BD29" s="12">
        <f t="shared" si="122"/>
        <v>0</v>
      </c>
      <c r="BE29" s="12">
        <f t="shared" si="122"/>
        <v>0</v>
      </c>
      <c r="BF29" s="12">
        <f t="shared" si="122"/>
        <v>0</v>
      </c>
      <c r="BG29" s="12">
        <f t="shared" si="122"/>
        <v>0</v>
      </c>
      <c r="BH29" s="12">
        <f t="shared" si="122"/>
        <v>0</v>
      </c>
      <c r="BI29" s="12">
        <f t="shared" si="122"/>
        <v>0</v>
      </c>
      <c r="BJ29" s="12">
        <f t="shared" si="122"/>
        <v>0</v>
      </c>
      <c r="BK29" s="12">
        <f t="shared" si="122"/>
        <v>0</v>
      </c>
      <c r="BL29" s="12">
        <f t="shared" si="122"/>
        <v>0</v>
      </c>
      <c r="BM29" s="12">
        <f t="shared" si="122"/>
        <v>0</v>
      </c>
      <c r="BN29" s="12">
        <f t="shared" si="122"/>
        <v>0</v>
      </c>
      <c r="BO29" s="12">
        <f t="shared" si="122"/>
        <v>0</v>
      </c>
      <c r="BP29" s="12">
        <f t="shared" si="122"/>
        <v>0</v>
      </c>
      <c r="BQ29" s="12">
        <f t="shared" si="122"/>
        <v>0</v>
      </c>
      <c r="BR29" s="12">
        <f t="shared" si="122"/>
        <v>0</v>
      </c>
      <c r="BS29" s="12">
        <f t="shared" si="122"/>
        <v>0</v>
      </c>
      <c r="BT29" s="12">
        <f t="shared" si="122"/>
        <v>0</v>
      </c>
      <c r="BU29" s="12">
        <f t="shared" si="122"/>
        <v>0</v>
      </c>
      <c r="BV29" s="12">
        <f t="shared" si="122"/>
        <v>0</v>
      </c>
      <c r="BW29" s="12">
        <f t="shared" si="122"/>
        <v>0</v>
      </c>
      <c r="BX29" s="12">
        <f t="shared" si="122"/>
        <v>0</v>
      </c>
      <c r="BY29" s="12">
        <f t="shared" si="122"/>
        <v>0</v>
      </c>
      <c r="BZ29" s="12">
        <f t="shared" si="122"/>
        <v>0</v>
      </c>
      <c r="CA29" s="12">
        <f t="shared" si="122"/>
        <v>0</v>
      </c>
      <c r="CB29" s="12">
        <f t="shared" si="122"/>
        <v>0</v>
      </c>
      <c r="CC29" s="12">
        <f t="shared" si="122"/>
        <v>0</v>
      </c>
      <c r="CD29" s="12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2"/>
      <c r="CQ29" s="17"/>
      <c r="CR29" s="17"/>
      <c r="CS29" s="17"/>
      <c r="CT29" s="17"/>
      <c r="CU29" s="17"/>
      <c r="CV29" s="12"/>
      <c r="CW29" s="17"/>
      <c r="CX29" s="17"/>
      <c r="CY29" s="17"/>
      <c r="CZ29" s="17"/>
      <c r="DA29" s="17"/>
      <c r="DB29" s="17"/>
      <c r="DC29" s="17"/>
      <c r="DD29" s="17"/>
      <c r="DE29" s="12"/>
      <c r="DF29" s="17"/>
      <c r="DG29" s="17"/>
      <c r="DH29" s="17"/>
      <c r="DI29" s="36">
        <f>(AT29+SUM(AU29:AX29)*12+SUM(AY29:CC29)-SUM(CD29:DH29))</f>
        <v>57</v>
      </c>
      <c r="DJ29" s="12">
        <f>DI29*1000</f>
        <v>57000</v>
      </c>
      <c r="DK29" s="12">
        <f t="shared" si="109"/>
        <v>0</v>
      </c>
      <c r="DL29" s="12">
        <f>DK29*1000</f>
        <v>0</v>
      </c>
      <c r="DM29" s="12">
        <f t="shared" si="110"/>
        <v>0</v>
      </c>
      <c r="DN29" s="12">
        <f>DM29*1000</f>
        <v>0</v>
      </c>
      <c r="DO29" s="12">
        <f t="shared" si="111"/>
        <v>0</v>
      </c>
      <c r="DP29" s="12">
        <f>DO29*1000</f>
        <v>0</v>
      </c>
      <c r="DQ29" s="12">
        <f t="shared" si="112"/>
        <v>0</v>
      </c>
      <c r="DR29" s="12">
        <f>DQ29*1000</f>
        <v>0</v>
      </c>
      <c r="DS29" s="12">
        <f t="shared" si="113"/>
        <v>0</v>
      </c>
      <c r="DT29" s="12">
        <f>DS29*1000</f>
        <v>0</v>
      </c>
    </row>
    <row r="30" spans="1:124" ht="14.25" customHeight="1">
      <c r="A30" s="12">
        <v>26</v>
      </c>
      <c r="B30" s="21" t="s">
        <v>61</v>
      </c>
      <c r="C30" s="14"/>
      <c r="D30" s="95"/>
      <c r="E30" s="56">
        <v>10</v>
      </c>
      <c r="F30" s="103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2">
        <f t="shared" si="77"/>
        <v>10</v>
      </c>
      <c r="AP30" s="17">
        <f>AO30*180</f>
        <v>1800</v>
      </c>
      <c r="AQ30" s="12">
        <f t="shared" si="120"/>
        <v>3240</v>
      </c>
      <c r="AR30" s="20" t="s">
        <v>62</v>
      </c>
      <c r="AS30" s="126">
        <f t="shared" si="121"/>
        <v>8</v>
      </c>
      <c r="AT30" s="56">
        <v>8</v>
      </c>
      <c r="AU30" s="50"/>
      <c r="AV30" s="12"/>
      <c r="AW30" s="12"/>
      <c r="AX30" s="12"/>
      <c r="AY30" s="12">
        <f t="shared" si="78"/>
        <v>0</v>
      </c>
      <c r="AZ30" s="12">
        <f t="shared" si="79"/>
        <v>0</v>
      </c>
      <c r="BA30" s="12">
        <f t="shared" si="80"/>
        <v>0</v>
      </c>
      <c r="BB30" s="12">
        <f t="shared" si="81"/>
        <v>0</v>
      </c>
      <c r="BC30" s="12">
        <f t="shared" si="82"/>
        <v>0</v>
      </c>
      <c r="BD30" s="12">
        <f t="shared" si="83"/>
        <v>0</v>
      </c>
      <c r="BE30" s="12">
        <f t="shared" si="84"/>
        <v>0</v>
      </c>
      <c r="BF30" s="12">
        <f t="shared" si="85"/>
        <v>0</v>
      </c>
      <c r="BG30" s="12">
        <f t="shared" si="86"/>
        <v>0</v>
      </c>
      <c r="BH30" s="12">
        <f t="shared" si="87"/>
        <v>0</v>
      </c>
      <c r="BI30" s="12">
        <f t="shared" si="88"/>
        <v>0</v>
      </c>
      <c r="BJ30" s="12">
        <f t="shared" si="89"/>
        <v>0</v>
      </c>
      <c r="BK30" s="12">
        <f t="shared" si="90"/>
        <v>0</v>
      </c>
      <c r="BL30" s="12">
        <f t="shared" si="91"/>
        <v>0</v>
      </c>
      <c r="BM30" s="12">
        <f t="shared" si="92"/>
        <v>0</v>
      </c>
      <c r="BN30" s="12">
        <f t="shared" si="93"/>
        <v>0</v>
      </c>
      <c r="BO30" s="12">
        <f t="shared" si="94"/>
        <v>0</v>
      </c>
      <c r="BP30" s="12">
        <f t="shared" si="95"/>
        <v>0</v>
      </c>
      <c r="BQ30" s="12">
        <f t="shared" si="96"/>
        <v>0</v>
      </c>
      <c r="BR30" s="12">
        <f t="shared" si="97"/>
        <v>0</v>
      </c>
      <c r="BS30" s="12">
        <f t="shared" si="98"/>
        <v>0</v>
      </c>
      <c r="BT30" s="12">
        <f t="shared" si="99"/>
        <v>0</v>
      </c>
      <c r="BU30" s="12">
        <f t="shared" si="100"/>
        <v>0</v>
      </c>
      <c r="BV30" s="12">
        <f t="shared" si="101"/>
        <v>0</v>
      </c>
      <c r="BW30" s="12">
        <f t="shared" si="102"/>
        <v>0</v>
      </c>
      <c r="BX30" s="12">
        <f t="shared" si="103"/>
        <v>0</v>
      </c>
      <c r="BY30" s="12">
        <f t="shared" si="104"/>
        <v>0</v>
      </c>
      <c r="BZ30" s="12">
        <f t="shared" si="105"/>
        <v>0</v>
      </c>
      <c r="CA30" s="12">
        <f t="shared" si="106"/>
        <v>0</v>
      </c>
      <c r="CB30" s="12">
        <f t="shared" si="107"/>
        <v>0</v>
      </c>
      <c r="CC30" s="12">
        <f t="shared" si="108"/>
        <v>0</v>
      </c>
      <c r="CD30" s="12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2"/>
      <c r="CQ30" s="17"/>
      <c r="CR30" s="17"/>
      <c r="CS30" s="17"/>
      <c r="CT30" s="17"/>
      <c r="CU30" s="17"/>
      <c r="CV30" s="12"/>
      <c r="CW30" s="17"/>
      <c r="CX30" s="17"/>
      <c r="CY30" s="17"/>
      <c r="CZ30" s="17"/>
      <c r="DA30" s="17"/>
      <c r="DB30" s="17"/>
      <c r="DC30" s="17"/>
      <c r="DD30" s="17"/>
      <c r="DE30" s="12"/>
      <c r="DF30" s="17"/>
      <c r="DG30" s="17"/>
      <c r="DH30" s="17"/>
      <c r="DI30" s="36">
        <f>(AT30+SUM(AU30:AX30)+SUM(AY30:CC30)-SUM(CD30:DH30))</f>
        <v>8</v>
      </c>
      <c r="DJ30" s="12">
        <f>DI30*180</f>
        <v>1440</v>
      </c>
      <c r="DK30" s="12">
        <f t="shared" si="109"/>
        <v>0</v>
      </c>
      <c r="DL30" s="12">
        <f>DK30*180</f>
        <v>0</v>
      </c>
      <c r="DM30" s="12">
        <f t="shared" si="110"/>
        <v>0</v>
      </c>
      <c r="DN30" s="12">
        <f>DM30*180</f>
        <v>0</v>
      </c>
      <c r="DO30" s="12">
        <f t="shared" si="111"/>
        <v>0</v>
      </c>
      <c r="DP30" s="12">
        <f>DO30*180</f>
        <v>0</v>
      </c>
      <c r="DQ30" s="12">
        <f t="shared" si="112"/>
        <v>0</v>
      </c>
      <c r="DR30" s="12">
        <f>DQ30*180</f>
        <v>0</v>
      </c>
      <c r="DS30" s="12">
        <f t="shared" si="113"/>
        <v>0</v>
      </c>
      <c r="DT30" s="12">
        <f>DS30</f>
        <v>0</v>
      </c>
    </row>
    <row r="31" spans="1:124" ht="14.25" customHeight="1">
      <c r="A31" s="12">
        <v>27</v>
      </c>
      <c r="B31" s="19" t="s">
        <v>63</v>
      </c>
      <c r="C31" s="14"/>
      <c r="D31" s="95"/>
      <c r="E31" s="56">
        <v>0</v>
      </c>
      <c r="F31" s="103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2">
        <f>(E31+F31+G31+H31+I31-J31-K31-L31-M31-N31-O31-P31-Q31-R31-S31-T31-U31-V31-W31-X31-Y31-Z31-AA31-AB31-AC31-AD31-AE31-AF31-AG31-AH31-AI31-AJ31-AK31-AL31-AM31-AN31)</f>
        <v>0</v>
      </c>
      <c r="AP31" s="151">
        <f>(AO31*14000)+(AO32*15200)+(AO33*19600)</f>
        <v>50000</v>
      </c>
      <c r="AQ31" s="151">
        <f>AP31+AP32+AP33+(AT31)*28+(AT32)*38+(AT33)*140</f>
        <v>67620</v>
      </c>
      <c r="AR31" s="17"/>
      <c r="AS31" s="126">
        <f t="shared" si="121"/>
        <v>0</v>
      </c>
      <c r="AT31" s="56">
        <v>0</v>
      </c>
      <c r="AU31" s="50"/>
      <c r="AV31" s="12"/>
      <c r="AW31" s="12"/>
      <c r="AX31" s="12"/>
      <c r="AY31" s="12">
        <f>J31*500</f>
        <v>0</v>
      </c>
      <c r="AZ31" s="12">
        <f t="shared" ref="AZ31:CC31" si="123">K31*500</f>
        <v>0</v>
      </c>
      <c r="BA31" s="12">
        <f t="shared" si="123"/>
        <v>0</v>
      </c>
      <c r="BB31" s="12">
        <f t="shared" si="123"/>
        <v>0</v>
      </c>
      <c r="BC31" s="12">
        <f t="shared" si="123"/>
        <v>0</v>
      </c>
      <c r="BD31" s="12">
        <f t="shared" si="123"/>
        <v>0</v>
      </c>
      <c r="BE31" s="12">
        <f t="shared" si="123"/>
        <v>0</v>
      </c>
      <c r="BF31" s="12">
        <f t="shared" si="123"/>
        <v>0</v>
      </c>
      <c r="BG31" s="12">
        <f t="shared" si="123"/>
        <v>0</v>
      </c>
      <c r="BH31" s="12">
        <f t="shared" si="123"/>
        <v>0</v>
      </c>
      <c r="BI31" s="12">
        <f t="shared" si="123"/>
        <v>0</v>
      </c>
      <c r="BJ31" s="12">
        <f t="shared" si="123"/>
        <v>0</v>
      </c>
      <c r="BK31" s="12">
        <f t="shared" si="123"/>
        <v>0</v>
      </c>
      <c r="BL31" s="12">
        <f t="shared" si="123"/>
        <v>0</v>
      </c>
      <c r="BM31" s="12">
        <f t="shared" si="123"/>
        <v>0</v>
      </c>
      <c r="BN31" s="12">
        <f t="shared" si="123"/>
        <v>0</v>
      </c>
      <c r="BO31" s="12">
        <f t="shared" si="123"/>
        <v>0</v>
      </c>
      <c r="BP31" s="12">
        <f t="shared" si="123"/>
        <v>0</v>
      </c>
      <c r="BQ31" s="12">
        <f t="shared" si="123"/>
        <v>0</v>
      </c>
      <c r="BR31" s="12">
        <f t="shared" si="123"/>
        <v>0</v>
      </c>
      <c r="BS31" s="12">
        <f t="shared" si="123"/>
        <v>0</v>
      </c>
      <c r="BT31" s="12">
        <f t="shared" si="123"/>
        <v>0</v>
      </c>
      <c r="BU31" s="12">
        <f t="shared" si="123"/>
        <v>0</v>
      </c>
      <c r="BV31" s="12">
        <f t="shared" si="123"/>
        <v>0</v>
      </c>
      <c r="BW31" s="12">
        <f t="shared" si="123"/>
        <v>0</v>
      </c>
      <c r="BX31" s="12">
        <f t="shared" si="123"/>
        <v>0</v>
      </c>
      <c r="BY31" s="12">
        <f t="shared" si="123"/>
        <v>0</v>
      </c>
      <c r="BZ31" s="12">
        <f t="shared" si="123"/>
        <v>0</v>
      </c>
      <c r="CA31" s="12">
        <f t="shared" si="123"/>
        <v>0</v>
      </c>
      <c r="CB31" s="12">
        <f t="shared" si="123"/>
        <v>0</v>
      </c>
      <c r="CC31" s="12">
        <f t="shared" si="123"/>
        <v>0</v>
      </c>
      <c r="CD31" s="12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2"/>
      <c r="CQ31" s="17"/>
      <c r="CR31" s="17"/>
      <c r="CS31" s="17"/>
      <c r="CT31" s="17"/>
      <c r="CU31" s="17"/>
      <c r="CV31" s="12"/>
      <c r="CW31" s="17"/>
      <c r="CX31" s="17"/>
      <c r="CY31" s="17"/>
      <c r="CZ31" s="17"/>
      <c r="DA31" s="17"/>
      <c r="DB31" s="17"/>
      <c r="DC31" s="17"/>
      <c r="DD31" s="17"/>
      <c r="DE31" s="12"/>
      <c r="DF31" s="17"/>
      <c r="DG31" s="17"/>
      <c r="DH31" s="17"/>
      <c r="DI31" s="36">
        <f>(AT31+SUM(AU31:AX31)*500+SUM(AY31:CC31)-SUM(CD31:DH31))</f>
        <v>0</v>
      </c>
      <c r="DJ31" s="151">
        <f>(DI31*28)+(DI32*38)+(DI33*140)</f>
        <v>37220</v>
      </c>
      <c r="DK31" s="12">
        <f t="shared" si="109"/>
        <v>0</v>
      </c>
      <c r="DL31" s="12">
        <f>DK31*28</f>
        <v>0</v>
      </c>
      <c r="DM31" s="12">
        <f t="shared" si="110"/>
        <v>0</v>
      </c>
      <c r="DN31" s="12">
        <f>DM31*28</f>
        <v>0</v>
      </c>
      <c r="DO31" s="12">
        <f t="shared" si="111"/>
        <v>0</v>
      </c>
      <c r="DP31" s="12">
        <f>DO31*28</f>
        <v>0</v>
      </c>
      <c r="DQ31" s="12">
        <f t="shared" si="112"/>
        <v>0</v>
      </c>
      <c r="DR31" s="12">
        <f>DQ31*28</f>
        <v>0</v>
      </c>
      <c r="DS31" s="12">
        <f t="shared" si="113"/>
        <v>0</v>
      </c>
      <c r="DT31" s="151">
        <f>(DS31*28)+(DS32*38)+(DS33*140)</f>
        <v>0</v>
      </c>
    </row>
    <row r="32" spans="1:124" ht="14.25" customHeight="1">
      <c r="A32" s="12">
        <v>28</v>
      </c>
      <c r="B32" s="19" t="s">
        <v>64</v>
      </c>
      <c r="C32" s="14"/>
      <c r="D32" s="95"/>
      <c r="E32" s="56">
        <v>1</v>
      </c>
      <c r="F32" s="103"/>
      <c r="G32" s="17">
        <v>1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2">
        <f>(E32+F32+G32+H32+I32-J32-K32-L32-M32-N32-O32-P32-Q32-R32-S32-T32-U32-V32-W32-X32-Y32-Z32-AA32-AB32-AC32-AD32-AE32-AF32-AG32-AH32-AI32-AJ32-AK32-AL32-AM32-AN32)</f>
        <v>2</v>
      </c>
      <c r="AP32" s="153"/>
      <c r="AQ32" s="153"/>
      <c r="AR32" s="17"/>
      <c r="AS32" s="126">
        <f t="shared" si="121"/>
        <v>250</v>
      </c>
      <c r="AT32" s="56">
        <v>250</v>
      </c>
      <c r="AU32" s="50"/>
      <c r="AV32" s="12"/>
      <c r="AW32" s="12"/>
      <c r="AX32" s="12"/>
      <c r="AY32" s="12">
        <f>J32*400</f>
        <v>0</v>
      </c>
      <c r="AZ32" s="12">
        <f t="shared" ref="AZ32:CC32" si="124">K32*400</f>
        <v>0</v>
      </c>
      <c r="BA32" s="12">
        <f t="shared" si="124"/>
        <v>0</v>
      </c>
      <c r="BB32" s="12">
        <f t="shared" si="124"/>
        <v>0</v>
      </c>
      <c r="BC32" s="12">
        <f t="shared" si="124"/>
        <v>0</v>
      </c>
      <c r="BD32" s="12">
        <f t="shared" si="124"/>
        <v>0</v>
      </c>
      <c r="BE32" s="12">
        <f t="shared" si="124"/>
        <v>0</v>
      </c>
      <c r="BF32" s="12">
        <f t="shared" si="124"/>
        <v>0</v>
      </c>
      <c r="BG32" s="12">
        <f t="shared" si="124"/>
        <v>0</v>
      </c>
      <c r="BH32" s="12">
        <f t="shared" si="124"/>
        <v>0</v>
      </c>
      <c r="BI32" s="12">
        <f t="shared" si="124"/>
        <v>0</v>
      </c>
      <c r="BJ32" s="12">
        <f t="shared" si="124"/>
        <v>0</v>
      </c>
      <c r="BK32" s="12">
        <f t="shared" si="124"/>
        <v>0</v>
      </c>
      <c r="BL32" s="12">
        <f t="shared" si="124"/>
        <v>0</v>
      </c>
      <c r="BM32" s="12">
        <f t="shared" si="124"/>
        <v>0</v>
      </c>
      <c r="BN32" s="12">
        <f t="shared" si="124"/>
        <v>0</v>
      </c>
      <c r="BO32" s="12">
        <f t="shared" si="124"/>
        <v>0</v>
      </c>
      <c r="BP32" s="12">
        <f t="shared" si="124"/>
        <v>0</v>
      </c>
      <c r="BQ32" s="12">
        <f t="shared" si="124"/>
        <v>0</v>
      </c>
      <c r="BR32" s="12">
        <f t="shared" si="124"/>
        <v>0</v>
      </c>
      <c r="BS32" s="12">
        <f t="shared" si="124"/>
        <v>0</v>
      </c>
      <c r="BT32" s="12">
        <f t="shared" si="124"/>
        <v>0</v>
      </c>
      <c r="BU32" s="12">
        <f t="shared" si="124"/>
        <v>0</v>
      </c>
      <c r="BV32" s="12">
        <f t="shared" si="124"/>
        <v>0</v>
      </c>
      <c r="BW32" s="12">
        <f t="shared" si="124"/>
        <v>0</v>
      </c>
      <c r="BX32" s="12">
        <f t="shared" si="124"/>
        <v>0</v>
      </c>
      <c r="BY32" s="12">
        <f t="shared" si="124"/>
        <v>0</v>
      </c>
      <c r="BZ32" s="12">
        <f t="shared" si="124"/>
        <v>0</v>
      </c>
      <c r="CA32" s="12">
        <f t="shared" si="124"/>
        <v>0</v>
      </c>
      <c r="CB32" s="12">
        <f t="shared" si="124"/>
        <v>0</v>
      </c>
      <c r="CC32" s="12">
        <f t="shared" si="124"/>
        <v>0</v>
      </c>
      <c r="CD32" s="12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2"/>
      <c r="CQ32" s="17"/>
      <c r="CR32" s="17"/>
      <c r="CS32" s="17"/>
      <c r="CT32" s="17"/>
      <c r="CU32" s="17"/>
      <c r="CV32" s="12"/>
      <c r="CW32" s="17"/>
      <c r="CX32" s="17"/>
      <c r="CY32" s="17"/>
      <c r="CZ32" s="17"/>
      <c r="DA32" s="17"/>
      <c r="DB32" s="17"/>
      <c r="DC32" s="17"/>
      <c r="DD32" s="17"/>
      <c r="DE32" s="12"/>
      <c r="DF32" s="17"/>
      <c r="DG32" s="17"/>
      <c r="DH32" s="17"/>
      <c r="DI32" s="36">
        <f>(AT32+SUM(AU32:AX32)*400+SUM(AY32:CC32)-SUM(CD32:DH32))</f>
        <v>250</v>
      </c>
      <c r="DJ32" s="153"/>
      <c r="DK32" s="12">
        <f t="shared" si="109"/>
        <v>0</v>
      </c>
      <c r="DL32" s="12">
        <f>DK32*38</f>
        <v>0</v>
      </c>
      <c r="DM32" s="12">
        <f t="shared" si="110"/>
        <v>0</v>
      </c>
      <c r="DN32" s="12">
        <f>DM32*38</f>
        <v>0</v>
      </c>
      <c r="DO32" s="12">
        <f t="shared" si="111"/>
        <v>0</v>
      </c>
      <c r="DP32" s="12">
        <f>DO32*38</f>
        <v>0</v>
      </c>
      <c r="DQ32" s="12">
        <f t="shared" si="112"/>
        <v>0</v>
      </c>
      <c r="DR32" s="12">
        <f>DQ32*38</f>
        <v>0</v>
      </c>
      <c r="DS32" s="12">
        <f t="shared" si="113"/>
        <v>0</v>
      </c>
      <c r="DT32" s="153"/>
    </row>
    <row r="33" spans="1:129" ht="14.25" customHeight="1">
      <c r="A33" s="12">
        <v>29</v>
      </c>
      <c r="B33" s="19" t="s">
        <v>65</v>
      </c>
      <c r="C33" s="14"/>
      <c r="D33" s="98"/>
      <c r="E33" s="56">
        <v>2</v>
      </c>
      <c r="F33" s="103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>
        <v>1</v>
      </c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2">
        <f>(E33+F33+G33+H33+I33-J33-K33-L33-M33-N33-O33-P33-Q33-R33-S33-T33-U33-V33-W33-X33-Y33-Z33-AA33-AB33-AC33-AD33-AE33-AF33-AG33-AH33-AI33-AJ33-AK33-AL33-AM33-AN33)</f>
        <v>1</v>
      </c>
      <c r="AP33" s="152"/>
      <c r="AQ33" s="152"/>
      <c r="AR33" s="17"/>
      <c r="AS33" s="126">
        <f t="shared" si="121"/>
        <v>198</v>
      </c>
      <c r="AT33" s="56">
        <v>58</v>
      </c>
      <c r="AU33" s="50"/>
      <c r="AV33" s="12"/>
      <c r="AW33" s="12"/>
      <c r="AX33" s="12"/>
      <c r="AY33" s="12">
        <f>J33*140</f>
        <v>0</v>
      </c>
      <c r="AZ33" s="12">
        <f t="shared" ref="AZ33:CC33" si="125">K33*140</f>
        <v>0</v>
      </c>
      <c r="BA33" s="12">
        <f t="shared" si="125"/>
        <v>0</v>
      </c>
      <c r="BB33" s="12">
        <f t="shared" si="125"/>
        <v>0</v>
      </c>
      <c r="BC33" s="12">
        <f t="shared" si="125"/>
        <v>0</v>
      </c>
      <c r="BD33" s="12">
        <f t="shared" si="125"/>
        <v>0</v>
      </c>
      <c r="BE33" s="12">
        <f t="shared" si="125"/>
        <v>0</v>
      </c>
      <c r="BF33" s="12">
        <f t="shared" si="125"/>
        <v>140</v>
      </c>
      <c r="BG33" s="12">
        <f t="shared" si="125"/>
        <v>0</v>
      </c>
      <c r="BH33" s="12">
        <f t="shared" si="125"/>
        <v>0</v>
      </c>
      <c r="BI33" s="12">
        <f t="shared" si="125"/>
        <v>0</v>
      </c>
      <c r="BJ33" s="12">
        <f t="shared" si="125"/>
        <v>0</v>
      </c>
      <c r="BK33" s="12">
        <f t="shared" si="125"/>
        <v>0</v>
      </c>
      <c r="BL33" s="12">
        <f t="shared" si="125"/>
        <v>0</v>
      </c>
      <c r="BM33" s="12">
        <f t="shared" si="125"/>
        <v>0</v>
      </c>
      <c r="BN33" s="12">
        <f t="shared" si="125"/>
        <v>0</v>
      </c>
      <c r="BO33" s="12">
        <f t="shared" si="125"/>
        <v>0</v>
      </c>
      <c r="BP33" s="12">
        <f t="shared" si="125"/>
        <v>0</v>
      </c>
      <c r="BQ33" s="12">
        <f t="shared" si="125"/>
        <v>0</v>
      </c>
      <c r="BR33" s="12">
        <f t="shared" si="125"/>
        <v>0</v>
      </c>
      <c r="BS33" s="12">
        <f t="shared" si="125"/>
        <v>0</v>
      </c>
      <c r="BT33" s="12">
        <f t="shared" si="125"/>
        <v>0</v>
      </c>
      <c r="BU33" s="12">
        <f t="shared" si="125"/>
        <v>0</v>
      </c>
      <c r="BV33" s="12">
        <f t="shared" si="125"/>
        <v>0</v>
      </c>
      <c r="BW33" s="12">
        <f t="shared" si="125"/>
        <v>0</v>
      </c>
      <c r="BX33" s="12">
        <f t="shared" si="125"/>
        <v>0</v>
      </c>
      <c r="BY33" s="12">
        <f t="shared" si="125"/>
        <v>0</v>
      </c>
      <c r="BZ33" s="12">
        <f t="shared" si="125"/>
        <v>0</v>
      </c>
      <c r="CA33" s="12">
        <f t="shared" si="125"/>
        <v>0</v>
      </c>
      <c r="CB33" s="12">
        <f t="shared" si="125"/>
        <v>0</v>
      </c>
      <c r="CC33" s="12">
        <f t="shared" si="125"/>
        <v>0</v>
      </c>
      <c r="CD33" s="12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2"/>
      <c r="CQ33" s="17"/>
      <c r="CR33" s="17"/>
      <c r="CS33" s="17"/>
      <c r="CT33" s="17"/>
      <c r="CU33" s="17"/>
      <c r="CV33" s="12"/>
      <c r="CW33" s="17"/>
      <c r="CX33" s="17"/>
      <c r="CY33" s="17"/>
      <c r="CZ33" s="17"/>
      <c r="DA33" s="17"/>
      <c r="DB33" s="17"/>
      <c r="DC33" s="17"/>
      <c r="DD33" s="17"/>
      <c r="DE33" s="12"/>
      <c r="DF33" s="17"/>
      <c r="DG33" s="17"/>
      <c r="DH33" s="17"/>
      <c r="DI33" s="36">
        <f>(AT33+SUM(AU33:AX33)*140+SUM(AY33:CC33)-SUM(CD33:DH33))</f>
        <v>198</v>
      </c>
      <c r="DJ33" s="152"/>
      <c r="DK33" s="12">
        <f t="shared" si="109"/>
        <v>0</v>
      </c>
      <c r="DL33" s="12">
        <f>DK33*140</f>
        <v>0</v>
      </c>
      <c r="DM33" s="12">
        <f t="shared" si="110"/>
        <v>0</v>
      </c>
      <c r="DN33" s="12">
        <f>DM33*140</f>
        <v>0</v>
      </c>
      <c r="DO33" s="12">
        <f t="shared" si="111"/>
        <v>0</v>
      </c>
      <c r="DP33" s="12">
        <f>DO33*140</f>
        <v>0</v>
      </c>
      <c r="DQ33" s="12">
        <f t="shared" si="112"/>
        <v>0</v>
      </c>
      <c r="DR33" s="12">
        <f>DQ33*140</f>
        <v>0</v>
      </c>
      <c r="DS33" s="12">
        <f t="shared" si="113"/>
        <v>0</v>
      </c>
      <c r="DT33" s="152"/>
    </row>
    <row r="34" spans="1:129" ht="14.25" customHeight="1">
      <c r="A34" s="12">
        <v>30</v>
      </c>
      <c r="B34" s="19" t="s">
        <v>66</v>
      </c>
      <c r="C34" s="14"/>
      <c r="D34" s="95"/>
      <c r="E34" s="56">
        <v>2</v>
      </c>
      <c r="F34" s="103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>
        <v>1</v>
      </c>
      <c r="R34" s="17"/>
      <c r="S34" s="17"/>
      <c r="T34" s="17"/>
      <c r="U34" s="17"/>
      <c r="V34" s="17"/>
      <c r="W34" s="17"/>
      <c r="X34" s="17"/>
      <c r="Y34" s="17"/>
      <c r="Z34" s="17">
        <v>1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2">
        <f t="shared" si="77"/>
        <v>0</v>
      </c>
      <c r="AP34" s="17">
        <f>AO34*1000</f>
        <v>0</v>
      </c>
      <c r="AQ34" s="12">
        <f t="shared" ref="AQ34:AQ39" si="126">AP34+DJ34</f>
        <v>4000</v>
      </c>
      <c r="AR34" s="20"/>
      <c r="AS34" s="126">
        <f t="shared" si="121"/>
        <v>4</v>
      </c>
      <c r="AT34" s="56">
        <v>2</v>
      </c>
      <c r="AU34" s="50"/>
      <c r="AV34" s="12"/>
      <c r="AW34" s="12"/>
      <c r="AX34" s="12"/>
      <c r="AY34" s="12">
        <f t="shared" si="78"/>
        <v>0</v>
      </c>
      <c r="AZ34" s="12">
        <f t="shared" si="79"/>
        <v>0</v>
      </c>
      <c r="BA34" s="12">
        <f t="shared" si="80"/>
        <v>0</v>
      </c>
      <c r="BB34" s="12">
        <f t="shared" si="81"/>
        <v>0</v>
      </c>
      <c r="BC34" s="12">
        <f t="shared" si="82"/>
        <v>0</v>
      </c>
      <c r="BD34" s="12">
        <f t="shared" si="83"/>
        <v>0</v>
      </c>
      <c r="BE34" s="12">
        <f t="shared" si="84"/>
        <v>0</v>
      </c>
      <c r="BF34" s="12">
        <f t="shared" si="85"/>
        <v>1</v>
      </c>
      <c r="BG34" s="12">
        <f t="shared" si="86"/>
        <v>0</v>
      </c>
      <c r="BH34" s="12">
        <f t="shared" si="87"/>
        <v>0</v>
      </c>
      <c r="BI34" s="12">
        <f t="shared" si="88"/>
        <v>0</v>
      </c>
      <c r="BJ34" s="12">
        <f t="shared" si="89"/>
        <v>0</v>
      </c>
      <c r="BK34" s="12">
        <f t="shared" si="90"/>
        <v>0</v>
      </c>
      <c r="BL34" s="12">
        <f t="shared" si="91"/>
        <v>0</v>
      </c>
      <c r="BM34" s="12">
        <f t="shared" si="92"/>
        <v>0</v>
      </c>
      <c r="BN34" s="12">
        <f t="shared" si="93"/>
        <v>0</v>
      </c>
      <c r="BO34" s="12">
        <f t="shared" si="94"/>
        <v>1</v>
      </c>
      <c r="BP34" s="12">
        <f t="shared" si="95"/>
        <v>0</v>
      </c>
      <c r="BQ34" s="12">
        <f t="shared" si="96"/>
        <v>0</v>
      </c>
      <c r="BR34" s="12">
        <f t="shared" si="97"/>
        <v>0</v>
      </c>
      <c r="BS34" s="12">
        <f t="shared" si="98"/>
        <v>0</v>
      </c>
      <c r="BT34" s="12">
        <f t="shared" si="99"/>
        <v>0</v>
      </c>
      <c r="BU34" s="12">
        <f t="shared" si="100"/>
        <v>0</v>
      </c>
      <c r="BV34" s="12">
        <f t="shared" si="101"/>
        <v>0</v>
      </c>
      <c r="BW34" s="12">
        <f t="shared" si="102"/>
        <v>0</v>
      </c>
      <c r="BX34" s="12">
        <f t="shared" si="103"/>
        <v>0</v>
      </c>
      <c r="BY34" s="12">
        <f t="shared" si="104"/>
        <v>0</v>
      </c>
      <c r="BZ34" s="12">
        <f t="shared" si="105"/>
        <v>0</v>
      </c>
      <c r="CA34" s="12">
        <f t="shared" si="106"/>
        <v>0</v>
      </c>
      <c r="CB34" s="12">
        <f t="shared" si="107"/>
        <v>0</v>
      </c>
      <c r="CC34" s="12">
        <f t="shared" si="108"/>
        <v>0</v>
      </c>
      <c r="CD34" s="12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2"/>
      <c r="CQ34" s="17"/>
      <c r="CR34" s="17"/>
      <c r="CS34" s="17"/>
      <c r="CT34" s="17"/>
      <c r="CU34" s="17"/>
      <c r="CV34" s="12"/>
      <c r="CW34" s="17"/>
      <c r="CX34" s="17"/>
      <c r="CY34" s="17"/>
      <c r="CZ34" s="17"/>
      <c r="DA34" s="17"/>
      <c r="DB34" s="17"/>
      <c r="DC34" s="17"/>
      <c r="DD34" s="17"/>
      <c r="DE34" s="12"/>
      <c r="DF34" s="17"/>
      <c r="DG34" s="17"/>
      <c r="DH34" s="17"/>
      <c r="DI34" s="36">
        <f>(AT34+SUM(AU34:AX34)+SUM(AY34:CC34)-SUM(CD34:DH34))</f>
        <v>4</v>
      </c>
      <c r="DJ34" s="12">
        <f>DI34*1000</f>
        <v>4000</v>
      </c>
      <c r="DK34" s="12">
        <f t="shared" si="109"/>
        <v>0</v>
      </c>
      <c r="DL34" s="12">
        <f>DK34*1000</f>
        <v>0</v>
      </c>
      <c r="DM34" s="12">
        <f t="shared" si="110"/>
        <v>0</v>
      </c>
      <c r="DN34" s="12">
        <f>DM34*1000</f>
        <v>0</v>
      </c>
      <c r="DO34" s="12">
        <f t="shared" si="111"/>
        <v>0</v>
      </c>
      <c r="DP34" s="12">
        <f>DO34*1000</f>
        <v>0</v>
      </c>
      <c r="DQ34" s="12">
        <f t="shared" si="112"/>
        <v>0</v>
      </c>
      <c r="DR34" s="12">
        <f>DQ34*1000</f>
        <v>0</v>
      </c>
      <c r="DS34" s="12">
        <f t="shared" si="113"/>
        <v>0</v>
      </c>
      <c r="DT34" s="12">
        <f>DS34*1000</f>
        <v>0</v>
      </c>
    </row>
    <row r="35" spans="1:129" ht="14.25" customHeight="1">
      <c r="A35" s="12">
        <v>31</v>
      </c>
      <c r="B35" s="19" t="s">
        <v>67</v>
      </c>
      <c r="C35" s="14"/>
      <c r="D35" s="95"/>
      <c r="E35" s="56">
        <v>3</v>
      </c>
      <c r="F35" s="103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>
        <v>1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2">
        <f>(E35+F35+G35+H35+I35-J35-K35-L35-M35-N35-O35-P35-Q35-R35-S35-T35-U35-V35-W35-X35-Y35-Z35-AA35-AB35-AC35-AD35-AE35-AF35-AG35-AH35-AI35-AJ35-AK35-AL35-AM35-AN35)</f>
        <v>2</v>
      </c>
      <c r="AP35" s="17">
        <f>AO35*11880</f>
        <v>23760</v>
      </c>
      <c r="AQ35" s="12">
        <f t="shared" si="126"/>
        <v>48510</v>
      </c>
      <c r="AR35" s="20"/>
      <c r="AS35" s="126">
        <f t="shared" si="121"/>
        <v>25</v>
      </c>
      <c r="AT35" s="56">
        <v>13</v>
      </c>
      <c r="AU35" s="50"/>
      <c r="AV35" s="12"/>
      <c r="AW35" s="12"/>
      <c r="AX35" s="12"/>
      <c r="AY35" s="12">
        <f>J35*12</f>
        <v>0</v>
      </c>
      <c r="AZ35" s="12">
        <f t="shared" ref="AZ35:CC35" si="127">K35*12</f>
        <v>0</v>
      </c>
      <c r="BA35" s="12">
        <f t="shared" si="127"/>
        <v>0</v>
      </c>
      <c r="BB35" s="12">
        <f t="shared" si="127"/>
        <v>0</v>
      </c>
      <c r="BC35" s="12">
        <f t="shared" si="127"/>
        <v>0</v>
      </c>
      <c r="BD35" s="12">
        <f t="shared" si="127"/>
        <v>0</v>
      </c>
      <c r="BE35" s="12">
        <f t="shared" si="127"/>
        <v>0</v>
      </c>
      <c r="BF35" s="12">
        <f t="shared" si="127"/>
        <v>0</v>
      </c>
      <c r="BG35" s="12">
        <f t="shared" si="127"/>
        <v>0</v>
      </c>
      <c r="BH35" s="12">
        <f t="shared" si="127"/>
        <v>0</v>
      </c>
      <c r="BI35" s="12">
        <f t="shared" si="127"/>
        <v>0</v>
      </c>
      <c r="BJ35" s="12">
        <f t="shared" si="127"/>
        <v>0</v>
      </c>
      <c r="BK35" s="12">
        <f t="shared" si="127"/>
        <v>0</v>
      </c>
      <c r="BL35" s="12">
        <f t="shared" si="127"/>
        <v>0</v>
      </c>
      <c r="BM35" s="12">
        <f t="shared" si="127"/>
        <v>0</v>
      </c>
      <c r="BN35" s="12">
        <f t="shared" si="127"/>
        <v>0</v>
      </c>
      <c r="BO35" s="12">
        <f t="shared" si="127"/>
        <v>12</v>
      </c>
      <c r="BP35" s="12">
        <f t="shared" si="127"/>
        <v>0</v>
      </c>
      <c r="BQ35" s="12">
        <f t="shared" si="127"/>
        <v>0</v>
      </c>
      <c r="BR35" s="12">
        <f t="shared" si="127"/>
        <v>0</v>
      </c>
      <c r="BS35" s="12">
        <f t="shared" si="127"/>
        <v>0</v>
      </c>
      <c r="BT35" s="12">
        <f t="shared" si="127"/>
        <v>0</v>
      </c>
      <c r="BU35" s="12">
        <f t="shared" si="127"/>
        <v>0</v>
      </c>
      <c r="BV35" s="12">
        <f t="shared" si="127"/>
        <v>0</v>
      </c>
      <c r="BW35" s="12">
        <f t="shared" si="127"/>
        <v>0</v>
      </c>
      <c r="BX35" s="12">
        <f t="shared" si="127"/>
        <v>0</v>
      </c>
      <c r="BY35" s="12">
        <f t="shared" si="127"/>
        <v>0</v>
      </c>
      <c r="BZ35" s="12">
        <f t="shared" si="127"/>
        <v>0</v>
      </c>
      <c r="CA35" s="12">
        <f t="shared" si="127"/>
        <v>0</v>
      </c>
      <c r="CB35" s="12">
        <f t="shared" si="127"/>
        <v>0</v>
      </c>
      <c r="CC35" s="12">
        <f t="shared" si="127"/>
        <v>0</v>
      </c>
      <c r="CD35" s="12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2"/>
      <c r="CQ35" s="17"/>
      <c r="CR35" s="17"/>
      <c r="CS35" s="17"/>
      <c r="CT35" s="17"/>
      <c r="CU35" s="17"/>
      <c r="CV35" s="12"/>
      <c r="CW35" s="17"/>
      <c r="CX35" s="17"/>
      <c r="CY35" s="17"/>
      <c r="CZ35" s="17"/>
      <c r="DA35" s="17"/>
      <c r="DB35" s="17"/>
      <c r="DC35" s="17"/>
      <c r="DD35" s="17"/>
      <c r="DE35" s="12"/>
      <c r="DF35" s="17"/>
      <c r="DG35" s="17"/>
      <c r="DH35" s="17"/>
      <c r="DI35" s="36">
        <f>(AT35+SUM(AU35:AX35)*12+SUM(AY35:CC35)-SUM(CD35:DH35))</f>
        <v>25</v>
      </c>
      <c r="DJ35" s="12">
        <f>DI35*990</f>
        <v>24750</v>
      </c>
      <c r="DK35" s="12">
        <f t="shared" si="109"/>
        <v>0</v>
      </c>
      <c r="DL35" s="12">
        <f>DK35*990</f>
        <v>0</v>
      </c>
      <c r="DM35" s="12">
        <f t="shared" si="110"/>
        <v>0</v>
      </c>
      <c r="DN35" s="12">
        <f>DM35*990</f>
        <v>0</v>
      </c>
      <c r="DO35" s="12">
        <f t="shared" si="111"/>
        <v>0</v>
      </c>
      <c r="DP35" s="12">
        <f>DO35*990</f>
        <v>0</v>
      </c>
      <c r="DQ35" s="12">
        <f t="shared" si="112"/>
        <v>0</v>
      </c>
      <c r="DR35" s="12">
        <f>DQ35*990</f>
        <v>0</v>
      </c>
      <c r="DS35" s="12">
        <f t="shared" si="113"/>
        <v>0</v>
      </c>
      <c r="DT35" s="12">
        <f>DS35*990</f>
        <v>0</v>
      </c>
    </row>
    <row r="36" spans="1:129" ht="14.25" customHeight="1">
      <c r="A36" s="12">
        <v>32</v>
      </c>
      <c r="B36" s="19" t="s">
        <v>69</v>
      </c>
      <c r="C36" s="14"/>
      <c r="D36" s="95"/>
      <c r="E36" s="56">
        <v>2</v>
      </c>
      <c r="F36" s="103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>
        <v>1</v>
      </c>
      <c r="R36" s="17"/>
      <c r="S36" s="17"/>
      <c r="T36" s="17"/>
      <c r="U36" s="17"/>
      <c r="V36" s="17"/>
      <c r="W36" s="17"/>
      <c r="X36" s="17"/>
      <c r="Y36" s="17"/>
      <c r="Z36" s="17">
        <v>1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2">
        <f t="shared" si="77"/>
        <v>0</v>
      </c>
      <c r="AP36" s="17">
        <f t="shared" ref="AP36:AP39" si="128">AO36*1000</f>
        <v>0</v>
      </c>
      <c r="AQ36" s="12">
        <f t="shared" si="126"/>
        <v>4000</v>
      </c>
      <c r="AR36" s="20"/>
      <c r="AS36" s="126">
        <f t="shared" si="121"/>
        <v>4</v>
      </c>
      <c r="AT36" s="56">
        <v>2</v>
      </c>
      <c r="AU36" s="50"/>
      <c r="AV36" s="12"/>
      <c r="AW36" s="12"/>
      <c r="AX36" s="12"/>
      <c r="AY36" s="12">
        <f t="shared" si="78"/>
        <v>0</v>
      </c>
      <c r="AZ36" s="12">
        <f t="shared" si="79"/>
        <v>0</v>
      </c>
      <c r="BA36" s="12">
        <f t="shared" si="80"/>
        <v>0</v>
      </c>
      <c r="BB36" s="12">
        <f t="shared" si="81"/>
        <v>0</v>
      </c>
      <c r="BC36" s="12">
        <f t="shared" si="82"/>
        <v>0</v>
      </c>
      <c r="BD36" s="12">
        <f t="shared" si="83"/>
        <v>0</v>
      </c>
      <c r="BE36" s="12">
        <f t="shared" si="84"/>
        <v>0</v>
      </c>
      <c r="BF36" s="12">
        <f t="shared" si="85"/>
        <v>1</v>
      </c>
      <c r="BG36" s="12">
        <f t="shared" si="86"/>
        <v>0</v>
      </c>
      <c r="BH36" s="12">
        <f t="shared" si="87"/>
        <v>0</v>
      </c>
      <c r="BI36" s="12">
        <f t="shared" si="88"/>
        <v>0</v>
      </c>
      <c r="BJ36" s="12">
        <f t="shared" si="89"/>
        <v>0</v>
      </c>
      <c r="BK36" s="12">
        <f t="shared" si="90"/>
        <v>0</v>
      </c>
      <c r="BL36" s="12">
        <f t="shared" si="91"/>
        <v>0</v>
      </c>
      <c r="BM36" s="12">
        <f t="shared" si="92"/>
        <v>0</v>
      </c>
      <c r="BN36" s="12">
        <f t="shared" si="93"/>
        <v>0</v>
      </c>
      <c r="BO36" s="12">
        <f t="shared" si="94"/>
        <v>1</v>
      </c>
      <c r="BP36" s="12">
        <f t="shared" si="95"/>
        <v>0</v>
      </c>
      <c r="BQ36" s="12">
        <f t="shared" si="96"/>
        <v>0</v>
      </c>
      <c r="BR36" s="12">
        <f t="shared" si="97"/>
        <v>0</v>
      </c>
      <c r="BS36" s="12">
        <f t="shared" si="98"/>
        <v>0</v>
      </c>
      <c r="BT36" s="12">
        <f t="shared" si="99"/>
        <v>0</v>
      </c>
      <c r="BU36" s="12">
        <f t="shared" si="100"/>
        <v>0</v>
      </c>
      <c r="BV36" s="12">
        <f t="shared" si="101"/>
        <v>0</v>
      </c>
      <c r="BW36" s="12">
        <f t="shared" si="102"/>
        <v>0</v>
      </c>
      <c r="BX36" s="12">
        <f t="shared" si="103"/>
        <v>0</v>
      </c>
      <c r="BY36" s="12">
        <f t="shared" si="104"/>
        <v>0</v>
      </c>
      <c r="BZ36" s="12">
        <f t="shared" si="105"/>
        <v>0</v>
      </c>
      <c r="CA36" s="12">
        <f t="shared" si="106"/>
        <v>0</v>
      </c>
      <c r="CB36" s="12">
        <f t="shared" si="107"/>
        <v>0</v>
      </c>
      <c r="CC36" s="12">
        <f t="shared" si="108"/>
        <v>0</v>
      </c>
      <c r="CD36" s="12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2"/>
      <c r="CQ36" s="17"/>
      <c r="CR36" s="17"/>
      <c r="CS36" s="17"/>
      <c r="CT36" s="17"/>
      <c r="CU36" s="17"/>
      <c r="CV36" s="12"/>
      <c r="CW36" s="17"/>
      <c r="CX36" s="17"/>
      <c r="CY36" s="17"/>
      <c r="CZ36" s="17"/>
      <c r="DA36" s="17"/>
      <c r="DB36" s="17"/>
      <c r="DC36" s="17"/>
      <c r="DD36" s="17"/>
      <c r="DE36" s="12"/>
      <c r="DF36" s="17"/>
      <c r="DG36" s="17"/>
      <c r="DH36" s="17"/>
      <c r="DI36" s="36">
        <f>(AT36+SUM(AU36:AX36)+SUM(AY36:CC36)-SUM(CD36:DH36))</f>
        <v>4</v>
      </c>
      <c r="DJ36" s="12">
        <f t="shared" ref="DJ36:DJ39" si="129">DI36*1000</f>
        <v>4000</v>
      </c>
      <c r="DK36" s="12">
        <f t="shared" si="109"/>
        <v>0</v>
      </c>
      <c r="DL36" s="12">
        <f t="shared" ref="DL36:DL39" si="130">DK36*1000</f>
        <v>0</v>
      </c>
      <c r="DM36" s="12">
        <f t="shared" si="110"/>
        <v>0</v>
      </c>
      <c r="DN36" s="12">
        <f t="shared" ref="DN36:DN39" si="131">DM36*1000</f>
        <v>0</v>
      </c>
      <c r="DO36" s="12">
        <f t="shared" si="111"/>
        <v>0</v>
      </c>
      <c r="DP36" s="12">
        <f t="shared" ref="DP36:DP39" si="132">DO36*1000</f>
        <v>0</v>
      </c>
      <c r="DQ36" s="12">
        <f t="shared" si="112"/>
        <v>0</v>
      </c>
      <c r="DR36" s="12">
        <f t="shared" ref="DR36:DR39" si="133">DQ36*1000</f>
        <v>0</v>
      </c>
      <c r="DS36" s="12">
        <f t="shared" si="113"/>
        <v>0</v>
      </c>
      <c r="DT36" s="12">
        <f t="shared" ref="DT36:DT39" si="134">DS36*1000</f>
        <v>0</v>
      </c>
    </row>
    <row r="37" spans="1:129" ht="14.25" customHeight="1">
      <c r="A37" s="12">
        <v>33</v>
      </c>
      <c r="B37" s="19" t="s">
        <v>70</v>
      </c>
      <c r="C37" s="14"/>
      <c r="D37" s="95"/>
      <c r="E37" s="56">
        <v>1</v>
      </c>
      <c r="F37" s="103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2">
        <f t="shared" si="77"/>
        <v>1</v>
      </c>
      <c r="AP37" s="17">
        <f t="shared" si="128"/>
        <v>1000</v>
      </c>
      <c r="AQ37" s="12">
        <f t="shared" si="126"/>
        <v>9000</v>
      </c>
      <c r="AR37" s="20"/>
      <c r="AS37" s="126">
        <f t="shared" si="121"/>
        <v>8</v>
      </c>
      <c r="AT37" s="56">
        <v>8</v>
      </c>
      <c r="AU37" s="50"/>
      <c r="AV37" s="12"/>
      <c r="AW37" s="12"/>
      <c r="AX37" s="12"/>
      <c r="AY37" s="12">
        <f t="shared" si="78"/>
        <v>0</v>
      </c>
      <c r="AZ37" s="12">
        <f t="shared" si="79"/>
        <v>0</v>
      </c>
      <c r="BA37" s="12">
        <f t="shared" si="80"/>
        <v>0</v>
      </c>
      <c r="BB37" s="12">
        <f t="shared" si="81"/>
        <v>0</v>
      </c>
      <c r="BC37" s="12">
        <f t="shared" si="82"/>
        <v>0</v>
      </c>
      <c r="BD37" s="12">
        <f t="shared" si="83"/>
        <v>0</v>
      </c>
      <c r="BE37" s="12">
        <f t="shared" si="84"/>
        <v>0</v>
      </c>
      <c r="BF37" s="12">
        <f t="shared" si="85"/>
        <v>0</v>
      </c>
      <c r="BG37" s="12">
        <f t="shared" si="86"/>
        <v>0</v>
      </c>
      <c r="BH37" s="12">
        <f t="shared" si="87"/>
        <v>0</v>
      </c>
      <c r="BI37" s="12">
        <f t="shared" si="88"/>
        <v>0</v>
      </c>
      <c r="BJ37" s="12">
        <f t="shared" si="89"/>
        <v>0</v>
      </c>
      <c r="BK37" s="12">
        <f t="shared" si="90"/>
        <v>0</v>
      </c>
      <c r="BL37" s="12">
        <f t="shared" si="91"/>
        <v>0</v>
      </c>
      <c r="BM37" s="12">
        <f t="shared" si="92"/>
        <v>0</v>
      </c>
      <c r="BN37" s="12">
        <f t="shared" si="93"/>
        <v>0</v>
      </c>
      <c r="BO37" s="12">
        <f t="shared" si="94"/>
        <v>0</v>
      </c>
      <c r="BP37" s="12">
        <f t="shared" si="95"/>
        <v>0</v>
      </c>
      <c r="BQ37" s="12">
        <f t="shared" si="96"/>
        <v>0</v>
      </c>
      <c r="BR37" s="12">
        <f t="shared" si="97"/>
        <v>0</v>
      </c>
      <c r="BS37" s="12">
        <f t="shared" si="98"/>
        <v>0</v>
      </c>
      <c r="BT37" s="12">
        <f t="shared" si="99"/>
        <v>0</v>
      </c>
      <c r="BU37" s="12">
        <f t="shared" si="100"/>
        <v>0</v>
      </c>
      <c r="BV37" s="12">
        <f t="shared" si="101"/>
        <v>0</v>
      </c>
      <c r="BW37" s="12">
        <f t="shared" si="102"/>
        <v>0</v>
      </c>
      <c r="BX37" s="12">
        <f t="shared" si="103"/>
        <v>0</v>
      </c>
      <c r="BY37" s="12">
        <f t="shared" si="104"/>
        <v>0</v>
      </c>
      <c r="BZ37" s="12">
        <f t="shared" si="105"/>
        <v>0</v>
      </c>
      <c r="CA37" s="12">
        <f t="shared" si="106"/>
        <v>0</v>
      </c>
      <c r="CB37" s="12">
        <f t="shared" si="107"/>
        <v>0</v>
      </c>
      <c r="CC37" s="12">
        <f t="shared" si="108"/>
        <v>0</v>
      </c>
      <c r="CD37" s="12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2"/>
      <c r="CQ37" s="17"/>
      <c r="CR37" s="17"/>
      <c r="CS37" s="17"/>
      <c r="CT37" s="17"/>
      <c r="CU37" s="17"/>
      <c r="CV37" s="12"/>
      <c r="CW37" s="17"/>
      <c r="CX37" s="17"/>
      <c r="CY37" s="17"/>
      <c r="CZ37" s="17"/>
      <c r="DA37" s="17"/>
      <c r="DB37" s="17"/>
      <c r="DC37" s="17"/>
      <c r="DD37" s="17"/>
      <c r="DE37" s="12"/>
      <c r="DF37" s="17"/>
      <c r="DG37" s="17"/>
      <c r="DH37" s="17"/>
      <c r="DI37" s="36">
        <f>(AT37+SUM(AU37:AX37)+SUM(AY37:CC37)-SUM(CD37:DH37))</f>
        <v>8</v>
      </c>
      <c r="DJ37" s="12">
        <f t="shared" si="129"/>
        <v>8000</v>
      </c>
      <c r="DK37" s="12">
        <f t="shared" si="109"/>
        <v>0</v>
      </c>
      <c r="DL37" s="12">
        <f t="shared" si="130"/>
        <v>0</v>
      </c>
      <c r="DM37" s="12">
        <f t="shared" si="110"/>
        <v>0</v>
      </c>
      <c r="DN37" s="12">
        <f t="shared" si="131"/>
        <v>0</v>
      </c>
      <c r="DO37" s="12">
        <f t="shared" si="111"/>
        <v>0</v>
      </c>
      <c r="DP37" s="12">
        <f t="shared" si="132"/>
        <v>0</v>
      </c>
      <c r="DQ37" s="12">
        <f t="shared" si="112"/>
        <v>0</v>
      </c>
      <c r="DR37" s="12">
        <f t="shared" si="133"/>
        <v>0</v>
      </c>
      <c r="DS37" s="12">
        <f t="shared" si="113"/>
        <v>0</v>
      </c>
      <c r="DT37" s="12">
        <f t="shared" si="134"/>
        <v>0</v>
      </c>
    </row>
    <row r="38" spans="1:129" ht="14.25" customHeight="1">
      <c r="A38" s="12">
        <v>34</v>
      </c>
      <c r="B38" s="19" t="s">
        <v>72</v>
      </c>
      <c r="C38" s="14"/>
      <c r="D38" s="95"/>
      <c r="E38" s="56">
        <v>9</v>
      </c>
      <c r="F38" s="103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>
        <v>8</v>
      </c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2">
        <f t="shared" si="77"/>
        <v>1</v>
      </c>
      <c r="AP38" s="17">
        <f t="shared" si="128"/>
        <v>1000</v>
      </c>
      <c r="AQ38" s="12">
        <f t="shared" si="126"/>
        <v>14000</v>
      </c>
      <c r="AR38" s="17"/>
      <c r="AS38" s="126">
        <f t="shared" si="121"/>
        <v>13</v>
      </c>
      <c r="AT38" s="56">
        <v>5</v>
      </c>
      <c r="AU38" s="50"/>
      <c r="AV38" s="12"/>
      <c r="AW38" s="12"/>
      <c r="AX38" s="12"/>
      <c r="AY38" s="12">
        <f t="shared" si="78"/>
        <v>0</v>
      </c>
      <c r="AZ38" s="12">
        <f t="shared" si="79"/>
        <v>0</v>
      </c>
      <c r="BA38" s="12">
        <f t="shared" si="80"/>
        <v>0</v>
      </c>
      <c r="BB38" s="12">
        <f t="shared" si="81"/>
        <v>0</v>
      </c>
      <c r="BC38" s="12">
        <f t="shared" si="82"/>
        <v>0</v>
      </c>
      <c r="BD38" s="12">
        <f t="shared" si="83"/>
        <v>0</v>
      </c>
      <c r="BE38" s="12">
        <f t="shared" si="84"/>
        <v>0</v>
      </c>
      <c r="BF38" s="12">
        <f t="shared" si="85"/>
        <v>8</v>
      </c>
      <c r="BG38" s="12">
        <f t="shared" si="86"/>
        <v>0</v>
      </c>
      <c r="BH38" s="12">
        <f t="shared" si="87"/>
        <v>0</v>
      </c>
      <c r="BI38" s="12">
        <f t="shared" si="88"/>
        <v>0</v>
      </c>
      <c r="BJ38" s="12">
        <f t="shared" si="89"/>
        <v>0</v>
      </c>
      <c r="BK38" s="12">
        <f t="shared" si="90"/>
        <v>0</v>
      </c>
      <c r="BL38" s="12">
        <f t="shared" si="91"/>
        <v>0</v>
      </c>
      <c r="BM38" s="12">
        <f t="shared" si="92"/>
        <v>0</v>
      </c>
      <c r="BN38" s="12">
        <f t="shared" si="93"/>
        <v>0</v>
      </c>
      <c r="BO38" s="12">
        <f t="shared" si="94"/>
        <v>0</v>
      </c>
      <c r="BP38" s="12">
        <f t="shared" si="95"/>
        <v>0</v>
      </c>
      <c r="BQ38" s="12">
        <f t="shared" si="96"/>
        <v>0</v>
      </c>
      <c r="BR38" s="12">
        <f t="shared" si="97"/>
        <v>0</v>
      </c>
      <c r="BS38" s="12">
        <f t="shared" si="98"/>
        <v>0</v>
      </c>
      <c r="BT38" s="12">
        <f t="shared" si="99"/>
        <v>0</v>
      </c>
      <c r="BU38" s="12">
        <f t="shared" si="100"/>
        <v>0</v>
      </c>
      <c r="BV38" s="12">
        <f t="shared" si="101"/>
        <v>0</v>
      </c>
      <c r="BW38" s="12">
        <f t="shared" si="102"/>
        <v>0</v>
      </c>
      <c r="BX38" s="12">
        <f t="shared" si="103"/>
        <v>0</v>
      </c>
      <c r="BY38" s="12">
        <f t="shared" si="104"/>
        <v>0</v>
      </c>
      <c r="BZ38" s="12">
        <f t="shared" si="105"/>
        <v>0</v>
      </c>
      <c r="CA38" s="12">
        <f t="shared" si="106"/>
        <v>0</v>
      </c>
      <c r="CB38" s="12">
        <f t="shared" si="107"/>
        <v>0</v>
      </c>
      <c r="CC38" s="12">
        <f t="shared" si="108"/>
        <v>0</v>
      </c>
      <c r="CD38" s="12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2"/>
      <c r="CQ38" s="17"/>
      <c r="CR38" s="17"/>
      <c r="CS38" s="17"/>
      <c r="CT38" s="17"/>
      <c r="CU38" s="17"/>
      <c r="CV38" s="12"/>
      <c r="CW38" s="17"/>
      <c r="CX38" s="17"/>
      <c r="CY38" s="17"/>
      <c r="CZ38" s="17"/>
      <c r="DA38" s="17"/>
      <c r="DB38" s="17"/>
      <c r="DC38" s="17"/>
      <c r="DD38" s="17"/>
      <c r="DE38" s="12"/>
      <c r="DF38" s="17"/>
      <c r="DG38" s="17"/>
      <c r="DH38" s="17"/>
      <c r="DI38" s="36">
        <f>(AT38+SUM(AU38:AX38)+SUM(AY38:CC38)-SUM(CD38:DH38))</f>
        <v>13</v>
      </c>
      <c r="DJ38" s="12">
        <f t="shared" si="129"/>
        <v>13000</v>
      </c>
      <c r="DK38" s="12">
        <f t="shared" si="109"/>
        <v>0</v>
      </c>
      <c r="DL38" s="12">
        <f t="shared" si="130"/>
        <v>0</v>
      </c>
      <c r="DM38" s="12">
        <f t="shared" si="110"/>
        <v>0</v>
      </c>
      <c r="DN38" s="12">
        <f t="shared" si="131"/>
        <v>0</v>
      </c>
      <c r="DO38" s="12">
        <f t="shared" si="111"/>
        <v>0</v>
      </c>
      <c r="DP38" s="12">
        <f t="shared" si="132"/>
        <v>0</v>
      </c>
      <c r="DQ38" s="12">
        <f t="shared" si="112"/>
        <v>0</v>
      </c>
      <c r="DR38" s="12">
        <f t="shared" si="133"/>
        <v>0</v>
      </c>
      <c r="DS38" s="12">
        <f t="shared" si="113"/>
        <v>0</v>
      </c>
      <c r="DT38" s="12">
        <f t="shared" si="134"/>
        <v>0</v>
      </c>
    </row>
    <row r="39" spans="1:129" ht="14.25" customHeight="1">
      <c r="A39" s="12">
        <v>35</v>
      </c>
      <c r="B39" s="19" t="s">
        <v>73</v>
      </c>
      <c r="C39" s="14"/>
      <c r="D39" s="95"/>
      <c r="E39" s="56">
        <v>1</v>
      </c>
      <c r="F39" s="103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2">
        <f t="shared" si="77"/>
        <v>1</v>
      </c>
      <c r="AP39" s="17">
        <f t="shared" si="128"/>
        <v>1000</v>
      </c>
      <c r="AQ39" s="12">
        <f t="shared" si="126"/>
        <v>5000</v>
      </c>
      <c r="AR39" s="20"/>
      <c r="AS39" s="126">
        <f t="shared" si="121"/>
        <v>4</v>
      </c>
      <c r="AT39" s="56">
        <v>4</v>
      </c>
      <c r="AU39" s="50"/>
      <c r="AV39" s="12"/>
      <c r="AW39" s="12"/>
      <c r="AX39" s="12"/>
      <c r="AY39" s="12">
        <f t="shared" si="78"/>
        <v>0</v>
      </c>
      <c r="AZ39" s="12">
        <f t="shared" si="79"/>
        <v>0</v>
      </c>
      <c r="BA39" s="12">
        <f t="shared" si="80"/>
        <v>0</v>
      </c>
      <c r="BB39" s="12">
        <f t="shared" si="81"/>
        <v>0</v>
      </c>
      <c r="BC39" s="12">
        <f t="shared" si="82"/>
        <v>0</v>
      </c>
      <c r="BD39" s="12">
        <f t="shared" si="83"/>
        <v>0</v>
      </c>
      <c r="BE39" s="12">
        <f t="shared" si="84"/>
        <v>0</v>
      </c>
      <c r="BF39" s="12">
        <f t="shared" si="85"/>
        <v>0</v>
      </c>
      <c r="BG39" s="12">
        <f t="shared" si="86"/>
        <v>0</v>
      </c>
      <c r="BH39" s="12">
        <f t="shared" si="87"/>
        <v>0</v>
      </c>
      <c r="BI39" s="12">
        <f t="shared" si="88"/>
        <v>0</v>
      </c>
      <c r="BJ39" s="12">
        <f t="shared" si="89"/>
        <v>0</v>
      </c>
      <c r="BK39" s="12">
        <f t="shared" si="90"/>
        <v>0</v>
      </c>
      <c r="BL39" s="12">
        <f t="shared" si="91"/>
        <v>0</v>
      </c>
      <c r="BM39" s="12">
        <f t="shared" si="92"/>
        <v>0</v>
      </c>
      <c r="BN39" s="12">
        <f t="shared" si="93"/>
        <v>0</v>
      </c>
      <c r="BO39" s="12">
        <f t="shared" si="94"/>
        <v>0</v>
      </c>
      <c r="BP39" s="12">
        <f t="shared" si="95"/>
        <v>0</v>
      </c>
      <c r="BQ39" s="12">
        <f t="shared" si="96"/>
        <v>0</v>
      </c>
      <c r="BR39" s="12">
        <f t="shared" si="97"/>
        <v>0</v>
      </c>
      <c r="BS39" s="12">
        <f t="shared" si="98"/>
        <v>0</v>
      </c>
      <c r="BT39" s="12">
        <f t="shared" si="99"/>
        <v>0</v>
      </c>
      <c r="BU39" s="12">
        <f t="shared" si="100"/>
        <v>0</v>
      </c>
      <c r="BV39" s="12">
        <f t="shared" si="101"/>
        <v>0</v>
      </c>
      <c r="BW39" s="12">
        <f t="shared" si="102"/>
        <v>0</v>
      </c>
      <c r="BX39" s="12">
        <f t="shared" si="103"/>
        <v>0</v>
      </c>
      <c r="BY39" s="12">
        <f t="shared" si="104"/>
        <v>0</v>
      </c>
      <c r="BZ39" s="12">
        <f t="shared" si="105"/>
        <v>0</v>
      </c>
      <c r="CA39" s="12">
        <f t="shared" si="106"/>
        <v>0</v>
      </c>
      <c r="CB39" s="12">
        <f t="shared" si="107"/>
        <v>0</v>
      </c>
      <c r="CC39" s="12">
        <f t="shared" si="108"/>
        <v>0</v>
      </c>
      <c r="CD39" s="12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2"/>
      <c r="CQ39" s="17"/>
      <c r="CR39" s="17"/>
      <c r="CS39" s="17"/>
      <c r="CT39" s="17"/>
      <c r="CU39" s="17"/>
      <c r="CV39" s="12"/>
      <c r="CW39" s="17"/>
      <c r="CX39" s="17"/>
      <c r="CY39" s="17"/>
      <c r="CZ39" s="17"/>
      <c r="DA39" s="17"/>
      <c r="DB39" s="17"/>
      <c r="DC39" s="17"/>
      <c r="DD39" s="17"/>
      <c r="DE39" s="12"/>
      <c r="DF39" s="17"/>
      <c r="DG39" s="17"/>
      <c r="DH39" s="17"/>
      <c r="DI39" s="36">
        <f t="shared" ref="DI39:DI43" si="135">(AT39+SUM(AU39:AX39)+SUM(AY39:CC39)-SUM(CD39:DH39))</f>
        <v>4</v>
      </c>
      <c r="DJ39" s="12">
        <f t="shared" si="129"/>
        <v>4000</v>
      </c>
      <c r="DK39" s="12">
        <f t="shared" si="109"/>
        <v>0</v>
      </c>
      <c r="DL39" s="12">
        <f t="shared" si="130"/>
        <v>0</v>
      </c>
      <c r="DM39" s="12">
        <f t="shared" si="110"/>
        <v>0</v>
      </c>
      <c r="DN39" s="12">
        <f t="shared" si="131"/>
        <v>0</v>
      </c>
      <c r="DO39" s="12">
        <f t="shared" si="111"/>
        <v>0</v>
      </c>
      <c r="DP39" s="12">
        <f t="shared" si="132"/>
        <v>0</v>
      </c>
      <c r="DQ39" s="12">
        <f t="shared" si="112"/>
        <v>0</v>
      </c>
      <c r="DR39" s="12">
        <f t="shared" si="133"/>
        <v>0</v>
      </c>
      <c r="DS39" s="12">
        <f t="shared" si="113"/>
        <v>0</v>
      </c>
      <c r="DT39" s="12">
        <f t="shared" si="134"/>
        <v>0</v>
      </c>
    </row>
    <row r="40" spans="1:129" ht="14.25" customHeight="1">
      <c r="A40" s="12">
        <v>36</v>
      </c>
      <c r="B40" s="19" t="s">
        <v>74</v>
      </c>
      <c r="C40" s="14"/>
      <c r="D40" s="95"/>
      <c r="E40" s="56"/>
      <c r="F40" s="103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2"/>
      <c r="AP40" s="17"/>
      <c r="AQ40" s="12"/>
      <c r="AR40" s="17"/>
      <c r="AS40" s="126">
        <f t="shared" si="121"/>
        <v>0</v>
      </c>
      <c r="AT40" s="56">
        <v>0</v>
      </c>
      <c r="AU40" s="50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2"/>
      <c r="CQ40" s="17"/>
      <c r="CR40" s="17"/>
      <c r="CS40" s="17"/>
      <c r="CT40" s="17"/>
      <c r="CU40" s="17"/>
      <c r="CV40" s="12"/>
      <c r="CW40" s="17"/>
      <c r="CX40" s="17"/>
      <c r="CY40" s="17"/>
      <c r="CZ40" s="17"/>
      <c r="DA40" s="17"/>
      <c r="DB40" s="17"/>
      <c r="DC40" s="17"/>
      <c r="DD40" s="17"/>
      <c r="DE40" s="12"/>
      <c r="DF40" s="17"/>
      <c r="DG40" s="17"/>
      <c r="DH40" s="17"/>
      <c r="DI40" s="36">
        <f t="shared" si="135"/>
        <v>0</v>
      </c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22"/>
      <c r="DV40" s="22"/>
      <c r="DW40" s="22"/>
      <c r="DX40" s="22"/>
      <c r="DY40" s="22"/>
    </row>
    <row r="41" spans="1:129" ht="14.25" customHeight="1">
      <c r="A41" s="12">
        <v>37</v>
      </c>
      <c r="B41" s="19" t="s">
        <v>75</v>
      </c>
      <c r="C41" s="14"/>
      <c r="D41" s="97" t="s">
        <v>55</v>
      </c>
      <c r="E41" s="56">
        <v>0</v>
      </c>
      <c r="F41" s="103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2">
        <f t="shared" ref="AO41:AO42" si="136">E41+F41+G41+H41+I41-J41-K41-L41-M41-N41-O41-P41-Q41-R41-S41-T41-U41-V41-W41-X41-Y41-Z41-AA41-AB41-AC41-AD41-AE41-AF41-AG41-AH41-AI41-AJ41-AK41-AL41-AM41-AN41</f>
        <v>0</v>
      </c>
      <c r="AP41" s="17">
        <f>AO41*300</f>
        <v>0</v>
      </c>
      <c r="AQ41" s="12">
        <f>AP41+DJ41</f>
        <v>2700</v>
      </c>
      <c r="AR41" s="20" t="s">
        <v>68</v>
      </c>
      <c r="AS41" s="126">
        <f t="shared" si="121"/>
        <v>9</v>
      </c>
      <c r="AT41" s="56">
        <v>9</v>
      </c>
      <c r="AU41" s="50"/>
      <c r="AV41" s="12"/>
      <c r="AW41" s="12"/>
      <c r="AX41" s="12"/>
      <c r="AY41" s="12">
        <f t="shared" ref="AY41:BH42" si="137">J41</f>
        <v>0</v>
      </c>
      <c r="AZ41" s="12">
        <f t="shared" si="137"/>
        <v>0</v>
      </c>
      <c r="BA41" s="12">
        <f t="shared" si="137"/>
        <v>0</v>
      </c>
      <c r="BB41" s="12">
        <f t="shared" si="137"/>
        <v>0</v>
      </c>
      <c r="BC41" s="12">
        <f t="shared" si="137"/>
        <v>0</v>
      </c>
      <c r="BD41" s="12">
        <f t="shared" si="137"/>
        <v>0</v>
      </c>
      <c r="BE41" s="12">
        <f t="shared" si="137"/>
        <v>0</v>
      </c>
      <c r="BF41" s="12">
        <f t="shared" si="137"/>
        <v>0</v>
      </c>
      <c r="BG41" s="12">
        <f t="shared" si="137"/>
        <v>0</v>
      </c>
      <c r="BH41" s="12">
        <f t="shared" si="137"/>
        <v>0</v>
      </c>
      <c r="BI41" s="12">
        <f t="shared" ref="BI41:BR42" si="138">T41</f>
        <v>0</v>
      </c>
      <c r="BJ41" s="12">
        <f t="shared" si="138"/>
        <v>0</v>
      </c>
      <c r="BK41" s="12">
        <f t="shared" si="138"/>
        <v>0</v>
      </c>
      <c r="BL41" s="12">
        <f t="shared" si="138"/>
        <v>0</v>
      </c>
      <c r="BM41" s="12">
        <f t="shared" si="138"/>
        <v>0</v>
      </c>
      <c r="BN41" s="12">
        <f t="shared" si="138"/>
        <v>0</v>
      </c>
      <c r="BO41" s="12">
        <f t="shared" si="138"/>
        <v>0</v>
      </c>
      <c r="BP41" s="12">
        <f t="shared" si="138"/>
        <v>0</v>
      </c>
      <c r="BQ41" s="12">
        <f t="shared" si="138"/>
        <v>0</v>
      </c>
      <c r="BR41" s="12">
        <f t="shared" si="138"/>
        <v>0</v>
      </c>
      <c r="BS41" s="12">
        <f t="shared" ref="BS41:CB42" si="139">AD41</f>
        <v>0</v>
      </c>
      <c r="BT41" s="12">
        <f t="shared" si="139"/>
        <v>0</v>
      </c>
      <c r="BU41" s="12">
        <f t="shared" si="139"/>
        <v>0</v>
      </c>
      <c r="BV41" s="12">
        <f t="shared" si="139"/>
        <v>0</v>
      </c>
      <c r="BW41" s="12">
        <f t="shared" si="139"/>
        <v>0</v>
      </c>
      <c r="BX41" s="12">
        <f t="shared" si="139"/>
        <v>0</v>
      </c>
      <c r="BY41" s="12">
        <f t="shared" si="139"/>
        <v>0</v>
      </c>
      <c r="BZ41" s="12">
        <f t="shared" si="139"/>
        <v>0</v>
      </c>
      <c r="CA41" s="12">
        <f t="shared" si="139"/>
        <v>0</v>
      </c>
      <c r="CB41" s="12">
        <f t="shared" si="139"/>
        <v>0</v>
      </c>
      <c r="CC41" s="12">
        <f t="shared" ref="CC41:CC42" si="140">AN41</f>
        <v>0</v>
      </c>
      <c r="CD41" s="12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2"/>
      <c r="CQ41" s="17"/>
      <c r="CR41" s="17"/>
      <c r="CS41" s="17"/>
      <c r="CT41" s="17"/>
      <c r="CU41" s="17"/>
      <c r="CV41" s="12"/>
      <c r="CW41" s="17"/>
      <c r="CX41" s="17"/>
      <c r="CY41" s="17"/>
      <c r="CZ41" s="17"/>
      <c r="DA41" s="17"/>
      <c r="DB41" s="17"/>
      <c r="DC41" s="17"/>
      <c r="DD41" s="17"/>
      <c r="DE41" s="12"/>
      <c r="DF41" s="17"/>
      <c r="DG41" s="17"/>
      <c r="DH41" s="17"/>
      <c r="DI41" s="36">
        <f t="shared" si="135"/>
        <v>9</v>
      </c>
      <c r="DJ41" s="12">
        <f>DI41*300</f>
        <v>2700</v>
      </c>
      <c r="DK41" s="12">
        <f t="shared" ref="DK41:DK42" si="141">SUM(CD41:CJ41)</f>
        <v>0</v>
      </c>
      <c r="DL41" s="12">
        <f>DK41*300</f>
        <v>0</v>
      </c>
      <c r="DM41" s="12">
        <f t="shared" ref="DM41:DM42" si="142">SUM(CK41:CQ41)</f>
        <v>0</v>
      </c>
      <c r="DN41" s="12">
        <f>DM41*300</f>
        <v>0</v>
      </c>
      <c r="DO41" s="12">
        <f t="shared" ref="DO41:DO42" si="143">SUM(CR41:CX41)</f>
        <v>0</v>
      </c>
      <c r="DP41" s="12">
        <f>DO41*300</f>
        <v>0</v>
      </c>
      <c r="DQ41" s="12">
        <f t="shared" ref="DQ41:DQ42" si="144">SUM(CY41:DH41)</f>
        <v>0</v>
      </c>
      <c r="DR41" s="12">
        <f>DQ41*300</f>
        <v>0</v>
      </c>
      <c r="DS41" s="12">
        <f t="shared" ref="DS41:DS42" si="145">DK41+DM41+DO41+DQ41</f>
        <v>0</v>
      </c>
      <c r="DT41" s="12">
        <f>DS41*300</f>
        <v>0</v>
      </c>
    </row>
    <row r="42" spans="1:129" ht="14.25" customHeight="1">
      <c r="A42" s="12">
        <v>38</v>
      </c>
      <c r="B42" s="19" t="s">
        <v>76</v>
      </c>
      <c r="C42" s="14"/>
      <c r="D42" s="97" t="s">
        <v>55</v>
      </c>
      <c r="E42" s="56">
        <v>0</v>
      </c>
      <c r="F42" s="103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2">
        <f t="shared" si="136"/>
        <v>0</v>
      </c>
      <c r="AP42" s="17">
        <f>AO42*1000</f>
        <v>0</v>
      </c>
      <c r="AQ42" s="12">
        <f>AP42+DJ42</f>
        <v>2000</v>
      </c>
      <c r="AR42" s="20" t="s">
        <v>77</v>
      </c>
      <c r="AS42" s="126">
        <f t="shared" si="121"/>
        <v>2</v>
      </c>
      <c r="AT42" s="56">
        <v>2</v>
      </c>
      <c r="AU42" s="50"/>
      <c r="AV42" s="12"/>
      <c r="AW42" s="12"/>
      <c r="AX42" s="12"/>
      <c r="AY42" s="12">
        <f t="shared" si="137"/>
        <v>0</v>
      </c>
      <c r="AZ42" s="12">
        <f t="shared" si="137"/>
        <v>0</v>
      </c>
      <c r="BA42" s="12">
        <f t="shared" si="137"/>
        <v>0</v>
      </c>
      <c r="BB42" s="12">
        <f t="shared" si="137"/>
        <v>0</v>
      </c>
      <c r="BC42" s="12">
        <f t="shared" si="137"/>
        <v>0</v>
      </c>
      <c r="BD42" s="12">
        <f t="shared" si="137"/>
        <v>0</v>
      </c>
      <c r="BE42" s="12">
        <f t="shared" si="137"/>
        <v>0</v>
      </c>
      <c r="BF42" s="12">
        <f t="shared" si="137"/>
        <v>0</v>
      </c>
      <c r="BG42" s="12">
        <f t="shared" si="137"/>
        <v>0</v>
      </c>
      <c r="BH42" s="12">
        <f t="shared" si="137"/>
        <v>0</v>
      </c>
      <c r="BI42" s="12">
        <f t="shared" si="138"/>
        <v>0</v>
      </c>
      <c r="BJ42" s="12">
        <f t="shared" si="138"/>
        <v>0</v>
      </c>
      <c r="BK42" s="12">
        <f t="shared" si="138"/>
        <v>0</v>
      </c>
      <c r="BL42" s="12">
        <f t="shared" si="138"/>
        <v>0</v>
      </c>
      <c r="BM42" s="12">
        <f t="shared" si="138"/>
        <v>0</v>
      </c>
      <c r="BN42" s="12">
        <f t="shared" si="138"/>
        <v>0</v>
      </c>
      <c r="BO42" s="12">
        <f t="shared" si="138"/>
        <v>0</v>
      </c>
      <c r="BP42" s="12">
        <f t="shared" si="138"/>
        <v>0</v>
      </c>
      <c r="BQ42" s="12">
        <f t="shared" si="138"/>
        <v>0</v>
      </c>
      <c r="BR42" s="12">
        <f t="shared" si="138"/>
        <v>0</v>
      </c>
      <c r="BS42" s="12">
        <f t="shared" si="139"/>
        <v>0</v>
      </c>
      <c r="BT42" s="12">
        <f t="shared" si="139"/>
        <v>0</v>
      </c>
      <c r="BU42" s="12">
        <f t="shared" si="139"/>
        <v>0</v>
      </c>
      <c r="BV42" s="12">
        <f t="shared" si="139"/>
        <v>0</v>
      </c>
      <c r="BW42" s="12">
        <f t="shared" si="139"/>
        <v>0</v>
      </c>
      <c r="BX42" s="12">
        <f t="shared" si="139"/>
        <v>0</v>
      </c>
      <c r="BY42" s="12">
        <f t="shared" si="139"/>
        <v>0</v>
      </c>
      <c r="BZ42" s="12">
        <f t="shared" si="139"/>
        <v>0</v>
      </c>
      <c r="CA42" s="12">
        <f t="shared" si="139"/>
        <v>0</v>
      </c>
      <c r="CB42" s="12">
        <f t="shared" si="139"/>
        <v>0</v>
      </c>
      <c r="CC42" s="12">
        <f t="shared" si="140"/>
        <v>0</v>
      </c>
      <c r="CD42" s="12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2"/>
      <c r="CQ42" s="17"/>
      <c r="CR42" s="17"/>
      <c r="CS42" s="17"/>
      <c r="CT42" s="17"/>
      <c r="CU42" s="17"/>
      <c r="CV42" s="12"/>
      <c r="CW42" s="17"/>
      <c r="CX42" s="17"/>
      <c r="CY42" s="17"/>
      <c r="CZ42" s="17"/>
      <c r="DA42" s="17"/>
      <c r="DB42" s="17"/>
      <c r="DC42" s="17"/>
      <c r="DD42" s="17"/>
      <c r="DE42" s="12"/>
      <c r="DF42" s="17"/>
      <c r="DG42" s="17"/>
      <c r="DH42" s="17"/>
      <c r="DI42" s="36">
        <f t="shared" si="135"/>
        <v>2</v>
      </c>
      <c r="DJ42" s="12">
        <f>DI42*1000</f>
        <v>2000</v>
      </c>
      <c r="DK42" s="12">
        <f t="shared" si="141"/>
        <v>0</v>
      </c>
      <c r="DL42" s="12">
        <f>DK42*1000</f>
        <v>0</v>
      </c>
      <c r="DM42" s="12">
        <f t="shared" si="142"/>
        <v>0</v>
      </c>
      <c r="DN42" s="12">
        <f>DM42*1000</f>
        <v>0</v>
      </c>
      <c r="DO42" s="12">
        <f t="shared" si="143"/>
        <v>0</v>
      </c>
      <c r="DP42" s="12">
        <f>DO42*1000</f>
        <v>0</v>
      </c>
      <c r="DQ42" s="12">
        <f t="shared" si="144"/>
        <v>0</v>
      </c>
      <c r="DR42" s="12">
        <f>DQ42*1000</f>
        <v>0</v>
      </c>
      <c r="DS42" s="12">
        <f t="shared" si="145"/>
        <v>0</v>
      </c>
      <c r="DT42" s="12">
        <f>DS42*1000</f>
        <v>0</v>
      </c>
    </row>
    <row r="43" spans="1:129" ht="14.25" customHeight="1">
      <c r="A43" s="12">
        <v>39</v>
      </c>
      <c r="B43" s="19" t="s">
        <v>78</v>
      </c>
      <c r="C43" s="14"/>
      <c r="D43" s="95"/>
      <c r="E43" s="56"/>
      <c r="F43" s="103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2"/>
      <c r="AP43" s="17"/>
      <c r="AQ43" s="12"/>
      <c r="AR43" s="17"/>
      <c r="AS43" s="126">
        <f t="shared" si="121"/>
        <v>0</v>
      </c>
      <c r="AT43" s="56">
        <v>0</v>
      </c>
      <c r="AU43" s="50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2"/>
      <c r="CQ43" s="17"/>
      <c r="CR43" s="17"/>
      <c r="CS43" s="17"/>
      <c r="CT43" s="17"/>
      <c r="CU43" s="17"/>
      <c r="CV43" s="12"/>
      <c r="CW43" s="17"/>
      <c r="CX43" s="17"/>
      <c r="CY43" s="17"/>
      <c r="CZ43" s="17"/>
      <c r="DA43" s="17"/>
      <c r="DB43" s="17"/>
      <c r="DC43" s="17"/>
      <c r="DD43" s="17"/>
      <c r="DE43" s="12"/>
      <c r="DF43" s="17"/>
      <c r="DG43" s="17"/>
      <c r="DH43" s="17"/>
      <c r="DI43" s="36">
        <f t="shared" si="135"/>
        <v>0</v>
      </c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22"/>
      <c r="DV43" s="22"/>
      <c r="DW43" s="22"/>
      <c r="DX43" s="22"/>
      <c r="DY43" s="22"/>
    </row>
    <row r="44" spans="1:129" ht="14.25" customHeight="1">
      <c r="A44" s="12">
        <v>40</v>
      </c>
      <c r="B44" s="19" t="s">
        <v>79</v>
      </c>
      <c r="C44" s="14"/>
      <c r="D44" s="95"/>
      <c r="E44" s="56">
        <v>6</v>
      </c>
      <c r="F44" s="103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>
        <v>2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2">
        <f>(E44+F44+G44+H44+I44-J44-K44-L44-M44-N44-O44-P44-Q44-R44-S44-T44-U44-V44-W44-X44-Y44-Z44-AA44-AB44-AC44-AD44-AE44-AF44-AG44-AH44-AI44-AJ44-AK44-AL44-AM44-AN44)</f>
        <v>4</v>
      </c>
      <c r="AP44" s="17">
        <f>AO44*6000</f>
        <v>24000</v>
      </c>
      <c r="AQ44" s="12">
        <f t="shared" ref="AQ44:AQ57" si="146">AP44+DJ44</f>
        <v>56000</v>
      </c>
      <c r="AR44" s="17"/>
      <c r="AS44" s="126">
        <f t="shared" si="121"/>
        <v>16</v>
      </c>
      <c r="AT44" s="56">
        <v>10</v>
      </c>
      <c r="AU44" s="50"/>
      <c r="AV44" s="12"/>
      <c r="AW44" s="12"/>
      <c r="AX44" s="12"/>
      <c r="AY44" s="12">
        <f>J44*3</f>
        <v>0</v>
      </c>
      <c r="AZ44" s="12">
        <f t="shared" ref="AZ44:CC44" si="147">K44*3</f>
        <v>0</v>
      </c>
      <c r="BA44" s="12">
        <f t="shared" si="147"/>
        <v>0</v>
      </c>
      <c r="BB44" s="12">
        <f t="shared" si="147"/>
        <v>0</v>
      </c>
      <c r="BC44" s="12">
        <f t="shared" si="147"/>
        <v>0</v>
      </c>
      <c r="BD44" s="12">
        <f t="shared" si="147"/>
        <v>0</v>
      </c>
      <c r="BE44" s="12">
        <f t="shared" si="147"/>
        <v>0</v>
      </c>
      <c r="BF44" s="12">
        <f t="shared" si="147"/>
        <v>0</v>
      </c>
      <c r="BG44" s="12">
        <f t="shared" si="147"/>
        <v>0</v>
      </c>
      <c r="BH44" s="12">
        <f t="shared" si="147"/>
        <v>0</v>
      </c>
      <c r="BI44" s="12">
        <f t="shared" si="147"/>
        <v>0</v>
      </c>
      <c r="BJ44" s="12">
        <f t="shared" si="147"/>
        <v>0</v>
      </c>
      <c r="BK44" s="12">
        <f t="shared" si="147"/>
        <v>0</v>
      </c>
      <c r="BL44" s="12">
        <f t="shared" si="147"/>
        <v>0</v>
      </c>
      <c r="BM44" s="12">
        <f t="shared" si="147"/>
        <v>0</v>
      </c>
      <c r="BN44" s="12">
        <f t="shared" si="147"/>
        <v>0</v>
      </c>
      <c r="BO44" s="12">
        <f t="shared" si="147"/>
        <v>6</v>
      </c>
      <c r="BP44" s="12">
        <f t="shared" si="147"/>
        <v>0</v>
      </c>
      <c r="BQ44" s="12">
        <f t="shared" si="147"/>
        <v>0</v>
      </c>
      <c r="BR44" s="12">
        <f t="shared" si="147"/>
        <v>0</v>
      </c>
      <c r="BS44" s="12">
        <f t="shared" si="147"/>
        <v>0</v>
      </c>
      <c r="BT44" s="12">
        <f t="shared" si="147"/>
        <v>0</v>
      </c>
      <c r="BU44" s="12">
        <f t="shared" si="147"/>
        <v>0</v>
      </c>
      <c r="BV44" s="12">
        <f t="shared" si="147"/>
        <v>0</v>
      </c>
      <c r="BW44" s="12">
        <f t="shared" si="147"/>
        <v>0</v>
      </c>
      <c r="BX44" s="12">
        <f t="shared" si="147"/>
        <v>0</v>
      </c>
      <c r="BY44" s="12">
        <f t="shared" si="147"/>
        <v>0</v>
      </c>
      <c r="BZ44" s="12">
        <f t="shared" si="147"/>
        <v>0</v>
      </c>
      <c r="CA44" s="12">
        <f t="shared" si="147"/>
        <v>0</v>
      </c>
      <c r="CB44" s="12">
        <f t="shared" si="147"/>
        <v>0</v>
      </c>
      <c r="CC44" s="12">
        <f t="shared" si="147"/>
        <v>0</v>
      </c>
      <c r="CD44" s="12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2"/>
      <c r="CQ44" s="17"/>
      <c r="CR44" s="17"/>
      <c r="CS44" s="17"/>
      <c r="CT44" s="17"/>
      <c r="CU44" s="17"/>
      <c r="CV44" s="12"/>
      <c r="CW44" s="17"/>
      <c r="CX44" s="17"/>
      <c r="CY44" s="17"/>
      <c r="CZ44" s="17"/>
      <c r="DA44" s="17"/>
      <c r="DB44" s="17"/>
      <c r="DC44" s="17"/>
      <c r="DD44" s="17"/>
      <c r="DE44" s="12"/>
      <c r="DF44" s="17"/>
      <c r="DG44" s="17"/>
      <c r="DH44" s="17"/>
      <c r="DI44" s="36">
        <f>(AT44+SUM(AU44:AX44)*3+SUM(AY44:CC44)-SUM(CD44:DH44))</f>
        <v>16</v>
      </c>
      <c r="DJ44" s="12">
        <f>DI44*2000</f>
        <v>32000</v>
      </c>
      <c r="DK44" s="12">
        <f t="shared" ref="DK44:DK57" si="148">SUM(CD44:CJ44)</f>
        <v>0</v>
      </c>
      <c r="DL44" s="12">
        <f>DK44*2000</f>
        <v>0</v>
      </c>
      <c r="DM44" s="12">
        <f t="shared" ref="DM44:DM57" si="149">SUM(CK44:CQ44)</f>
        <v>0</v>
      </c>
      <c r="DN44" s="12">
        <f>DM44*2000</f>
        <v>0</v>
      </c>
      <c r="DO44" s="12">
        <f t="shared" ref="DO44:DO57" si="150">SUM(CR44:CX44)</f>
        <v>0</v>
      </c>
      <c r="DP44" s="12">
        <f>DO44*2000</f>
        <v>0</v>
      </c>
      <c r="DQ44" s="12">
        <f t="shared" ref="DQ44:DQ57" si="151">SUM(CY44:DH44)</f>
        <v>0</v>
      </c>
      <c r="DR44" s="12">
        <f>DQ44*2000</f>
        <v>0</v>
      </c>
      <c r="DS44" s="12">
        <f t="shared" ref="DS44:DS57" si="152">DK44+DM44+DO44+DQ44</f>
        <v>0</v>
      </c>
      <c r="DT44" s="12">
        <f>DS44*2000</f>
        <v>0</v>
      </c>
    </row>
    <row r="45" spans="1:129" ht="14.25" customHeight="1">
      <c r="A45" s="12">
        <v>41</v>
      </c>
      <c r="B45" s="19" t="s">
        <v>80</v>
      </c>
      <c r="C45" s="14"/>
      <c r="D45" s="95"/>
      <c r="E45" s="56">
        <v>1</v>
      </c>
      <c r="F45" s="103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2">
        <f>(E45+F45+G45+H45+I45-J45-K45-L45-M45-N45-O45-P45-Q45-R45-S45-T45-U45-V45-W45-X45-Y45-Z45-AA45-AB45-AC45-AD45-AE45-AF45-AG45-AH45-AI45-AJ45-AK45-AL45-AM45-AN45)</f>
        <v>1</v>
      </c>
      <c r="AP45" s="17">
        <f>AO45*6000</f>
        <v>6000</v>
      </c>
      <c r="AQ45" s="12">
        <f t="shared" si="146"/>
        <v>10000</v>
      </c>
      <c r="AR45" s="20"/>
      <c r="AS45" s="126">
        <f t="shared" ref="AS45:AS50" si="153">DI45</f>
        <v>4</v>
      </c>
      <c r="AT45" s="56">
        <v>4</v>
      </c>
      <c r="AU45" s="50"/>
      <c r="AV45" s="12"/>
      <c r="AW45" s="12"/>
      <c r="AX45" s="12"/>
      <c r="AY45" s="12">
        <f t="shared" ref="AY45:AY57" si="154">J45</f>
        <v>0</v>
      </c>
      <c r="AZ45" s="12">
        <f>K45*6</f>
        <v>0</v>
      </c>
      <c r="BA45" s="12">
        <f t="shared" ref="BA45:BH45" si="155">L45*6</f>
        <v>0</v>
      </c>
      <c r="BB45" s="12">
        <f t="shared" si="155"/>
        <v>0</v>
      </c>
      <c r="BC45" s="12">
        <f t="shared" si="155"/>
        <v>0</v>
      </c>
      <c r="BD45" s="12">
        <f t="shared" si="155"/>
        <v>0</v>
      </c>
      <c r="BE45" s="12">
        <f t="shared" si="155"/>
        <v>0</v>
      </c>
      <c r="BF45" s="12">
        <f t="shared" si="155"/>
        <v>0</v>
      </c>
      <c r="BG45" s="12">
        <f t="shared" si="155"/>
        <v>0</v>
      </c>
      <c r="BH45" s="12">
        <f t="shared" si="155"/>
        <v>0</v>
      </c>
      <c r="BI45" s="12">
        <f t="shared" ref="BI45" si="156">T45*6</f>
        <v>0</v>
      </c>
      <c r="BJ45" s="12">
        <f t="shared" ref="BJ45" si="157">U45*6</f>
        <v>0</v>
      </c>
      <c r="BK45" s="12">
        <f t="shared" ref="BK45" si="158">V45*6</f>
        <v>0</v>
      </c>
      <c r="BL45" s="12">
        <f t="shared" ref="BL45" si="159">W45*6</f>
        <v>0</v>
      </c>
      <c r="BM45" s="12">
        <f t="shared" ref="BM45" si="160">X45*6</f>
        <v>0</v>
      </c>
      <c r="BN45" s="12">
        <f t="shared" ref="BN45" si="161">Y45*6</f>
        <v>0</v>
      </c>
      <c r="BO45" s="12">
        <f t="shared" ref="BO45:BP45" si="162">Z45*6</f>
        <v>0</v>
      </c>
      <c r="BP45" s="12">
        <f t="shared" si="162"/>
        <v>0</v>
      </c>
      <c r="BQ45" s="12">
        <f t="shared" ref="BQ45" si="163">AB45*6</f>
        <v>0</v>
      </c>
      <c r="BR45" s="12">
        <f t="shared" ref="BR45" si="164">AC45*6</f>
        <v>0</v>
      </c>
      <c r="BS45" s="12">
        <f t="shared" ref="BS45" si="165">AD45*6</f>
        <v>0</v>
      </c>
      <c r="BT45" s="12">
        <f t="shared" ref="BT45" si="166">AE45*6</f>
        <v>0</v>
      </c>
      <c r="BU45" s="12">
        <f t="shared" ref="BU45" si="167">AF45*6</f>
        <v>0</v>
      </c>
      <c r="BV45" s="12">
        <f t="shared" ref="BV45" si="168">AG45*6</f>
        <v>0</v>
      </c>
      <c r="BW45" s="12">
        <f t="shared" ref="BW45:BX45" si="169">AH45*6</f>
        <v>0</v>
      </c>
      <c r="BX45" s="12">
        <f t="shared" si="169"/>
        <v>0</v>
      </c>
      <c r="BY45" s="12">
        <f t="shared" ref="BY45" si="170">AJ45*6</f>
        <v>0</v>
      </c>
      <c r="BZ45" s="12">
        <f t="shared" ref="BZ45" si="171">AK45*6</f>
        <v>0</v>
      </c>
      <c r="CA45" s="12">
        <f t="shared" ref="CA45" si="172">AL45*6</f>
        <v>0</v>
      </c>
      <c r="CB45" s="12">
        <f t="shared" ref="CB45" si="173">AM45*6</f>
        <v>0</v>
      </c>
      <c r="CC45" s="12">
        <f t="shared" ref="CC45" si="174">AN45*6</f>
        <v>0</v>
      </c>
      <c r="CD45" s="12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2"/>
      <c r="CQ45" s="17"/>
      <c r="CR45" s="17"/>
      <c r="CS45" s="17"/>
      <c r="CT45" s="17"/>
      <c r="CU45" s="17"/>
      <c r="CV45" s="12"/>
      <c r="CW45" s="17"/>
      <c r="CX45" s="17"/>
      <c r="CY45" s="17"/>
      <c r="CZ45" s="17"/>
      <c r="DA45" s="17"/>
      <c r="DB45" s="17"/>
      <c r="DC45" s="17"/>
      <c r="DD45" s="17"/>
      <c r="DE45" s="12"/>
      <c r="DF45" s="17"/>
      <c r="DG45" s="17"/>
      <c r="DH45" s="17"/>
      <c r="DI45" s="36">
        <f>(AT45+SUM(AU45:AX45)+SUM(AY45:CC45)-SUM(CD45:DH45))</f>
        <v>4</v>
      </c>
      <c r="DJ45" s="12">
        <f t="shared" ref="DJ45:DJ49" si="175">DI45*1000</f>
        <v>4000</v>
      </c>
      <c r="DK45" s="12">
        <f t="shared" si="148"/>
        <v>0</v>
      </c>
      <c r="DL45" s="12">
        <f t="shared" ref="DL45:DL49" si="176">DK45*1000</f>
        <v>0</v>
      </c>
      <c r="DM45" s="12">
        <f t="shared" si="149"/>
        <v>0</v>
      </c>
      <c r="DN45" s="12">
        <f t="shared" ref="DN45:DN49" si="177">DM45*1000</f>
        <v>0</v>
      </c>
      <c r="DO45" s="12">
        <f t="shared" si="150"/>
        <v>0</v>
      </c>
      <c r="DP45" s="12">
        <f t="shared" ref="DP45:DP49" si="178">DO45*1000</f>
        <v>0</v>
      </c>
      <c r="DQ45" s="12">
        <f t="shared" si="151"/>
        <v>0</v>
      </c>
      <c r="DR45" s="12">
        <f t="shared" ref="DR45:DR49" si="179">DQ45*1000</f>
        <v>0</v>
      </c>
      <c r="DS45" s="12">
        <f t="shared" si="152"/>
        <v>0</v>
      </c>
      <c r="DT45" s="12">
        <f t="shared" ref="DT45:DT49" si="180">DS45*1000</f>
        <v>0</v>
      </c>
    </row>
    <row r="46" spans="1:129" ht="14.25" customHeight="1">
      <c r="A46" s="12">
        <v>42</v>
      </c>
      <c r="B46" s="33" t="s">
        <v>286</v>
      </c>
      <c r="C46" s="14"/>
      <c r="D46" s="95"/>
      <c r="E46" s="56">
        <v>4</v>
      </c>
      <c r="F46" s="103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>
        <v>3</v>
      </c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2">
        <f t="shared" ref="AO46:AO57" si="181">E46+F46+G46+H46+I46-J46-K46-L46-M46-N46-O46-P46-Q46-R46-S46-T46-U46-V46-W46-X46-Y46-Z46-AA46-AB46-AC46-AD46-AE46-AF46-AG46-AH46-AI46-AJ46-AK46-AL46-AM46-AN46</f>
        <v>1</v>
      </c>
      <c r="AP46" s="17">
        <f t="shared" ref="AP46:AP48" si="182">AO46*1000</f>
        <v>1000</v>
      </c>
      <c r="AQ46" s="12">
        <f t="shared" si="146"/>
        <v>7000</v>
      </c>
      <c r="AR46" s="40" t="s">
        <v>294</v>
      </c>
      <c r="AS46" s="126">
        <f t="shared" si="153"/>
        <v>6</v>
      </c>
      <c r="AT46" s="56">
        <v>3</v>
      </c>
      <c r="AU46" s="50"/>
      <c r="AV46" s="12"/>
      <c r="AW46" s="12"/>
      <c r="AX46" s="12"/>
      <c r="AY46" s="12">
        <f t="shared" si="154"/>
        <v>0</v>
      </c>
      <c r="AZ46" s="12">
        <f t="shared" ref="AZ46:AZ57" si="183">K46</f>
        <v>0</v>
      </c>
      <c r="BA46" s="12">
        <f t="shared" ref="BA46:BA57" si="184">L46</f>
        <v>0</v>
      </c>
      <c r="BB46" s="12">
        <f t="shared" ref="BB46:BB57" si="185">M46</f>
        <v>0</v>
      </c>
      <c r="BC46" s="12">
        <f t="shared" ref="BC46:BC57" si="186">N46</f>
        <v>0</v>
      </c>
      <c r="BD46" s="12">
        <f t="shared" ref="BD46:BD57" si="187">O46</f>
        <v>0</v>
      </c>
      <c r="BE46" s="12">
        <f t="shared" ref="BE46:BE57" si="188">P46</f>
        <v>0</v>
      </c>
      <c r="BF46" s="12">
        <f t="shared" ref="BF46:BF57" si="189">Q46</f>
        <v>3</v>
      </c>
      <c r="BG46" s="12">
        <f t="shared" ref="BG46:BG57" si="190">R46</f>
        <v>0</v>
      </c>
      <c r="BH46" s="12">
        <f t="shared" ref="BH46:BH57" si="191">S46</f>
        <v>0</v>
      </c>
      <c r="BI46" s="12">
        <f t="shared" ref="BI46:BI57" si="192">T46</f>
        <v>0</v>
      </c>
      <c r="BJ46" s="12">
        <f t="shared" ref="BJ46:BJ57" si="193">U46</f>
        <v>0</v>
      </c>
      <c r="BK46" s="12">
        <f t="shared" ref="BK46:BK57" si="194">V46</f>
        <v>0</v>
      </c>
      <c r="BL46" s="12">
        <f t="shared" ref="BL46:BL57" si="195">W46</f>
        <v>0</v>
      </c>
      <c r="BM46" s="12">
        <f t="shared" ref="BM46:BM57" si="196">X46</f>
        <v>0</v>
      </c>
      <c r="BN46" s="12">
        <f t="shared" ref="BN46:BN57" si="197">Y46</f>
        <v>0</v>
      </c>
      <c r="BO46" s="12">
        <f t="shared" ref="BO46:BO57" si="198">Z46</f>
        <v>0</v>
      </c>
      <c r="BP46" s="12">
        <f t="shared" ref="BP46:BP57" si="199">AA46</f>
        <v>0</v>
      </c>
      <c r="BQ46" s="12">
        <f t="shared" ref="BQ46:BQ57" si="200">AB46</f>
        <v>0</v>
      </c>
      <c r="BR46" s="12">
        <f t="shared" ref="BR46:BR57" si="201">AC46</f>
        <v>0</v>
      </c>
      <c r="BS46" s="12">
        <f t="shared" ref="BS46:BS57" si="202">AD46</f>
        <v>0</v>
      </c>
      <c r="BT46" s="12">
        <f t="shared" ref="BT46:BT57" si="203">AE46</f>
        <v>0</v>
      </c>
      <c r="BU46" s="12">
        <f t="shared" ref="BU46:BU57" si="204">AF46</f>
        <v>0</v>
      </c>
      <c r="BV46" s="12">
        <f t="shared" ref="BV46:BV57" si="205">AG46</f>
        <v>0</v>
      </c>
      <c r="BW46" s="12">
        <f t="shared" ref="BW46:BW57" si="206">AH46</f>
        <v>0</v>
      </c>
      <c r="BX46" s="12">
        <f t="shared" ref="BX46:BX57" si="207">AI46</f>
        <v>0</v>
      </c>
      <c r="BY46" s="12">
        <f t="shared" ref="BY46:BY57" si="208">AJ46</f>
        <v>0</v>
      </c>
      <c r="BZ46" s="12">
        <f t="shared" ref="BZ46:BZ57" si="209">AK46</f>
        <v>0</v>
      </c>
      <c r="CA46" s="12">
        <f t="shared" ref="CA46:CA57" si="210">AL46</f>
        <v>0</v>
      </c>
      <c r="CB46" s="12">
        <f t="shared" ref="CB46:CB57" si="211">AM46</f>
        <v>0</v>
      </c>
      <c r="CC46" s="12">
        <f t="shared" ref="CC46:CC57" si="212">AN46</f>
        <v>0</v>
      </c>
      <c r="CD46" s="12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2"/>
      <c r="CQ46" s="17"/>
      <c r="CR46" s="17"/>
      <c r="CS46" s="17"/>
      <c r="CT46" s="17"/>
      <c r="CU46" s="17"/>
      <c r="CV46" s="12"/>
      <c r="CW46" s="17"/>
      <c r="CX46" s="17"/>
      <c r="CY46" s="17"/>
      <c r="CZ46" s="17"/>
      <c r="DA46" s="17"/>
      <c r="DB46" s="17"/>
      <c r="DC46" s="17"/>
      <c r="DD46" s="17"/>
      <c r="DE46" s="12"/>
      <c r="DF46" s="17"/>
      <c r="DG46" s="17"/>
      <c r="DH46" s="17"/>
      <c r="DI46" s="36">
        <f>(AT46+SUM(AU46:AX46)+SUM(AY46:CC46)-SUM(CD46:DH46))</f>
        <v>6</v>
      </c>
      <c r="DJ46" s="12">
        <f t="shared" si="175"/>
        <v>6000</v>
      </c>
      <c r="DK46" s="12">
        <f t="shared" si="148"/>
        <v>0</v>
      </c>
      <c r="DL46" s="12">
        <f t="shared" si="176"/>
        <v>0</v>
      </c>
      <c r="DM46" s="12">
        <f t="shared" si="149"/>
        <v>0</v>
      </c>
      <c r="DN46" s="12">
        <f t="shared" si="177"/>
        <v>0</v>
      </c>
      <c r="DO46" s="12">
        <f t="shared" si="150"/>
        <v>0</v>
      </c>
      <c r="DP46" s="12">
        <f t="shared" si="178"/>
        <v>0</v>
      </c>
      <c r="DQ46" s="12">
        <f t="shared" si="151"/>
        <v>0</v>
      </c>
      <c r="DR46" s="12">
        <f t="shared" si="179"/>
        <v>0</v>
      </c>
      <c r="DS46" s="12">
        <f t="shared" si="152"/>
        <v>0</v>
      </c>
      <c r="DT46" s="12">
        <f t="shared" si="180"/>
        <v>0</v>
      </c>
    </row>
    <row r="47" spans="1:129" ht="14.25" customHeight="1">
      <c r="A47" s="12">
        <v>43</v>
      </c>
      <c r="B47" s="19" t="s">
        <v>81</v>
      </c>
      <c r="C47" s="14"/>
      <c r="D47" s="95"/>
      <c r="E47" s="56">
        <v>10</v>
      </c>
      <c r="F47" s="103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>
        <v>5</v>
      </c>
      <c r="R47" s="17"/>
      <c r="S47" s="17"/>
      <c r="T47" s="17"/>
      <c r="U47" s="17"/>
      <c r="V47" s="17"/>
      <c r="W47" s="17"/>
      <c r="X47" s="17"/>
      <c r="Y47" s="17"/>
      <c r="Z47" s="17">
        <v>2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2">
        <f>(E47+F47+G47+H47+I47-J47-K47-L47-M47-N47-O47-P47-Q47-R47-S47-T47-U47-V47-W47-X47-Y47-Z47-AA47-AB47-AC47-AD47-AE47-AF47-AG47-AH47-AI47-AJ47-AK47-AL47-AM47-AN47)</f>
        <v>3</v>
      </c>
      <c r="AP47" s="17">
        <f>AO47*6000</f>
        <v>18000</v>
      </c>
      <c r="AQ47" s="12">
        <f t="shared" si="146"/>
        <v>78000</v>
      </c>
      <c r="AR47" s="17"/>
      <c r="AS47" s="126">
        <f t="shared" si="153"/>
        <v>60</v>
      </c>
      <c r="AT47" s="56">
        <v>18</v>
      </c>
      <c r="AU47" s="50"/>
      <c r="AV47" s="12"/>
      <c r="AW47" s="12"/>
      <c r="AX47" s="12"/>
      <c r="AY47" s="12">
        <f>J47*6</f>
        <v>0</v>
      </c>
      <c r="AZ47" s="12">
        <f t="shared" ref="AZ47:CC47" si="213">K47*6</f>
        <v>0</v>
      </c>
      <c r="BA47" s="12">
        <f t="shared" si="213"/>
        <v>0</v>
      </c>
      <c r="BB47" s="12">
        <f t="shared" si="213"/>
        <v>0</v>
      </c>
      <c r="BC47" s="12">
        <f t="shared" si="213"/>
        <v>0</v>
      </c>
      <c r="BD47" s="12">
        <f t="shared" si="213"/>
        <v>0</v>
      </c>
      <c r="BE47" s="12">
        <f t="shared" si="213"/>
        <v>0</v>
      </c>
      <c r="BF47" s="12">
        <f t="shared" si="213"/>
        <v>30</v>
      </c>
      <c r="BG47" s="12">
        <f t="shared" si="213"/>
        <v>0</v>
      </c>
      <c r="BH47" s="12">
        <f t="shared" si="213"/>
        <v>0</v>
      </c>
      <c r="BI47" s="12">
        <f t="shared" si="213"/>
        <v>0</v>
      </c>
      <c r="BJ47" s="12">
        <f t="shared" si="213"/>
        <v>0</v>
      </c>
      <c r="BK47" s="12">
        <f t="shared" si="213"/>
        <v>0</v>
      </c>
      <c r="BL47" s="12">
        <f t="shared" si="213"/>
        <v>0</v>
      </c>
      <c r="BM47" s="12">
        <f t="shared" si="213"/>
        <v>0</v>
      </c>
      <c r="BN47" s="12">
        <f t="shared" si="213"/>
        <v>0</v>
      </c>
      <c r="BO47" s="12">
        <f t="shared" si="213"/>
        <v>12</v>
      </c>
      <c r="BP47" s="12">
        <f t="shared" si="213"/>
        <v>0</v>
      </c>
      <c r="BQ47" s="12">
        <f t="shared" si="213"/>
        <v>0</v>
      </c>
      <c r="BR47" s="12">
        <f t="shared" si="213"/>
        <v>0</v>
      </c>
      <c r="BS47" s="12">
        <f t="shared" si="213"/>
        <v>0</v>
      </c>
      <c r="BT47" s="12">
        <f t="shared" si="213"/>
        <v>0</v>
      </c>
      <c r="BU47" s="12">
        <f t="shared" si="213"/>
        <v>0</v>
      </c>
      <c r="BV47" s="12">
        <f t="shared" si="213"/>
        <v>0</v>
      </c>
      <c r="BW47" s="12">
        <f t="shared" si="213"/>
        <v>0</v>
      </c>
      <c r="BX47" s="12">
        <f t="shared" si="213"/>
        <v>0</v>
      </c>
      <c r="BY47" s="12">
        <f t="shared" si="213"/>
        <v>0</v>
      </c>
      <c r="BZ47" s="12">
        <f t="shared" si="213"/>
        <v>0</v>
      </c>
      <c r="CA47" s="12">
        <f t="shared" si="213"/>
        <v>0</v>
      </c>
      <c r="CB47" s="12">
        <f t="shared" si="213"/>
        <v>0</v>
      </c>
      <c r="CC47" s="12">
        <f t="shared" si="213"/>
        <v>0</v>
      </c>
      <c r="CD47" s="12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2"/>
      <c r="CQ47" s="17"/>
      <c r="CR47" s="17"/>
      <c r="CS47" s="17"/>
      <c r="CT47" s="17"/>
      <c r="CU47" s="17"/>
      <c r="CV47" s="12"/>
      <c r="CW47" s="17"/>
      <c r="CX47" s="17"/>
      <c r="CY47" s="17"/>
      <c r="CZ47" s="17"/>
      <c r="DA47" s="17"/>
      <c r="DB47" s="17"/>
      <c r="DC47" s="17"/>
      <c r="DD47" s="17"/>
      <c r="DE47" s="12"/>
      <c r="DF47" s="17"/>
      <c r="DG47" s="17"/>
      <c r="DH47" s="17"/>
      <c r="DI47" s="36">
        <f>(AT47+SUM(AU47:AX47)*6+SUM(AY47:CC47)-SUM(CD47:DH47))</f>
        <v>60</v>
      </c>
      <c r="DJ47" s="12">
        <f t="shared" si="175"/>
        <v>60000</v>
      </c>
      <c r="DK47" s="12">
        <f t="shared" si="148"/>
        <v>0</v>
      </c>
      <c r="DL47" s="12">
        <f t="shared" si="176"/>
        <v>0</v>
      </c>
      <c r="DM47" s="12">
        <f t="shared" si="149"/>
        <v>0</v>
      </c>
      <c r="DN47" s="12">
        <f t="shared" si="177"/>
        <v>0</v>
      </c>
      <c r="DO47" s="12">
        <f t="shared" si="150"/>
        <v>0</v>
      </c>
      <c r="DP47" s="12">
        <f t="shared" si="178"/>
        <v>0</v>
      </c>
      <c r="DQ47" s="12">
        <f t="shared" si="151"/>
        <v>0</v>
      </c>
      <c r="DR47" s="12">
        <f t="shared" si="179"/>
        <v>0</v>
      </c>
      <c r="DS47" s="12">
        <f t="shared" si="152"/>
        <v>0</v>
      </c>
      <c r="DT47" s="12">
        <f t="shared" si="180"/>
        <v>0</v>
      </c>
    </row>
    <row r="48" spans="1:129" ht="14.25" customHeight="1">
      <c r="A48" s="12">
        <v>44</v>
      </c>
      <c r="B48" s="33" t="s">
        <v>285</v>
      </c>
      <c r="C48" s="14"/>
      <c r="D48" s="95"/>
      <c r="E48" s="56">
        <v>1</v>
      </c>
      <c r="F48" s="103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>
        <v>1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2">
        <f t="shared" si="181"/>
        <v>0</v>
      </c>
      <c r="AP48" s="17">
        <f t="shared" si="182"/>
        <v>0</v>
      </c>
      <c r="AQ48" s="12">
        <f t="shared" si="146"/>
        <v>2000</v>
      </c>
      <c r="AR48" s="40" t="s">
        <v>295</v>
      </c>
      <c r="AS48" s="126">
        <f t="shared" si="153"/>
        <v>2</v>
      </c>
      <c r="AT48" s="56">
        <v>1</v>
      </c>
      <c r="AU48" s="50"/>
      <c r="AV48" s="12"/>
      <c r="AW48" s="12"/>
      <c r="AX48" s="12"/>
      <c r="AY48" s="12">
        <f t="shared" si="154"/>
        <v>0</v>
      </c>
      <c r="AZ48" s="12">
        <f t="shared" si="183"/>
        <v>0</v>
      </c>
      <c r="BA48" s="12">
        <f t="shared" si="184"/>
        <v>0</v>
      </c>
      <c r="BB48" s="12">
        <f t="shared" si="185"/>
        <v>0</v>
      </c>
      <c r="BC48" s="12">
        <f t="shared" si="186"/>
        <v>0</v>
      </c>
      <c r="BD48" s="12">
        <f t="shared" si="187"/>
        <v>0</v>
      </c>
      <c r="BE48" s="12">
        <f t="shared" si="188"/>
        <v>0</v>
      </c>
      <c r="BF48" s="12">
        <f t="shared" si="189"/>
        <v>0</v>
      </c>
      <c r="BG48" s="12">
        <f t="shared" si="190"/>
        <v>0</v>
      </c>
      <c r="BH48" s="12">
        <f t="shared" si="191"/>
        <v>0</v>
      </c>
      <c r="BI48" s="12">
        <f t="shared" si="192"/>
        <v>0</v>
      </c>
      <c r="BJ48" s="12">
        <f t="shared" si="193"/>
        <v>0</v>
      </c>
      <c r="BK48" s="12">
        <f t="shared" si="194"/>
        <v>0</v>
      </c>
      <c r="BL48" s="12">
        <f t="shared" si="195"/>
        <v>0</v>
      </c>
      <c r="BM48" s="12">
        <f t="shared" si="196"/>
        <v>0</v>
      </c>
      <c r="BN48" s="12">
        <f t="shared" si="197"/>
        <v>0</v>
      </c>
      <c r="BO48" s="12">
        <f t="shared" si="198"/>
        <v>1</v>
      </c>
      <c r="BP48" s="12">
        <f t="shared" si="199"/>
        <v>0</v>
      </c>
      <c r="BQ48" s="12">
        <f t="shared" si="200"/>
        <v>0</v>
      </c>
      <c r="BR48" s="12">
        <f t="shared" si="201"/>
        <v>0</v>
      </c>
      <c r="BS48" s="12">
        <f t="shared" si="202"/>
        <v>0</v>
      </c>
      <c r="BT48" s="12">
        <f t="shared" si="203"/>
        <v>0</v>
      </c>
      <c r="BU48" s="12">
        <f t="shared" si="204"/>
        <v>0</v>
      </c>
      <c r="BV48" s="12">
        <f t="shared" si="205"/>
        <v>0</v>
      </c>
      <c r="BW48" s="12">
        <f t="shared" si="206"/>
        <v>0</v>
      </c>
      <c r="BX48" s="12">
        <f t="shared" si="207"/>
        <v>0</v>
      </c>
      <c r="BY48" s="12">
        <f t="shared" si="208"/>
        <v>0</v>
      </c>
      <c r="BZ48" s="12">
        <f t="shared" si="209"/>
        <v>0</v>
      </c>
      <c r="CA48" s="12">
        <f t="shared" si="210"/>
        <v>0</v>
      </c>
      <c r="CB48" s="12">
        <f t="shared" si="211"/>
        <v>0</v>
      </c>
      <c r="CC48" s="12">
        <f t="shared" si="212"/>
        <v>0</v>
      </c>
      <c r="CD48" s="12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2"/>
      <c r="CQ48" s="17"/>
      <c r="CR48" s="17"/>
      <c r="CS48" s="17"/>
      <c r="CT48" s="17"/>
      <c r="CU48" s="17"/>
      <c r="CV48" s="12"/>
      <c r="CW48" s="17"/>
      <c r="CX48" s="17"/>
      <c r="CY48" s="17"/>
      <c r="CZ48" s="17"/>
      <c r="DA48" s="17"/>
      <c r="DB48" s="17"/>
      <c r="DC48" s="17"/>
      <c r="DD48" s="17"/>
      <c r="DE48" s="12"/>
      <c r="DF48" s="17"/>
      <c r="DG48" s="17"/>
      <c r="DH48" s="17"/>
      <c r="DI48" s="36">
        <f>(AT48+SUM(AU48:AX48)+SUM(AY48:CC48)-SUM(CD48:DH48))</f>
        <v>2</v>
      </c>
      <c r="DJ48" s="12">
        <f t="shared" si="175"/>
        <v>2000</v>
      </c>
      <c r="DK48" s="12">
        <f t="shared" si="148"/>
        <v>0</v>
      </c>
      <c r="DL48" s="12">
        <f t="shared" si="176"/>
        <v>0</v>
      </c>
      <c r="DM48" s="12">
        <f t="shared" si="149"/>
        <v>0</v>
      </c>
      <c r="DN48" s="12">
        <f t="shared" si="177"/>
        <v>0</v>
      </c>
      <c r="DO48" s="12">
        <f t="shared" si="150"/>
        <v>0</v>
      </c>
      <c r="DP48" s="12">
        <f t="shared" si="178"/>
        <v>0</v>
      </c>
      <c r="DQ48" s="12">
        <f t="shared" si="151"/>
        <v>0</v>
      </c>
      <c r="DR48" s="12">
        <f t="shared" si="179"/>
        <v>0</v>
      </c>
      <c r="DS48" s="12">
        <f t="shared" si="152"/>
        <v>0</v>
      </c>
      <c r="DT48" s="12">
        <f t="shared" si="180"/>
        <v>0</v>
      </c>
    </row>
    <row r="49" spans="1:124" ht="14.25" customHeight="1">
      <c r="A49" s="12">
        <v>45</v>
      </c>
      <c r="B49" s="19" t="s">
        <v>82</v>
      </c>
      <c r="C49" s="14"/>
      <c r="D49" s="95"/>
      <c r="E49" s="56">
        <v>2</v>
      </c>
      <c r="F49" s="103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>
        <v>1</v>
      </c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2">
        <f>(E49+F49+G49+H49+I49-J49-K49-L49-M49-N49-O49-P49-Q49-R49-S49-T49-U49-V49-W49-X49-Y49-Z49-AA49-AB49-AC49-AD49-AE49-AF49-AG49-AH49-AI49-AJ49-AK49-AL49-AM49-AN49)</f>
        <v>1</v>
      </c>
      <c r="AP49" s="17">
        <f>AO49*6000</f>
        <v>6000</v>
      </c>
      <c r="AQ49" s="12">
        <f t="shared" si="146"/>
        <v>14000</v>
      </c>
      <c r="AR49" s="17"/>
      <c r="AS49" s="126">
        <f t="shared" si="153"/>
        <v>8</v>
      </c>
      <c r="AT49" s="56">
        <v>2</v>
      </c>
      <c r="AU49" s="50"/>
      <c r="AV49" s="12"/>
      <c r="AW49" s="12"/>
      <c r="AX49" s="12"/>
      <c r="AY49" s="12">
        <f>J49*6</f>
        <v>0</v>
      </c>
      <c r="AZ49" s="12">
        <f t="shared" ref="AZ49:CC49" si="214">K49*6</f>
        <v>0</v>
      </c>
      <c r="BA49" s="12">
        <f t="shared" si="214"/>
        <v>0</v>
      </c>
      <c r="BB49" s="12">
        <f t="shared" si="214"/>
        <v>0</v>
      </c>
      <c r="BC49" s="12">
        <f t="shared" si="214"/>
        <v>0</v>
      </c>
      <c r="BD49" s="12">
        <f t="shared" si="214"/>
        <v>0</v>
      </c>
      <c r="BE49" s="12">
        <f t="shared" si="214"/>
        <v>0</v>
      </c>
      <c r="BF49" s="12">
        <f t="shared" si="214"/>
        <v>6</v>
      </c>
      <c r="BG49" s="12">
        <f t="shared" si="214"/>
        <v>0</v>
      </c>
      <c r="BH49" s="12">
        <f t="shared" si="214"/>
        <v>0</v>
      </c>
      <c r="BI49" s="12">
        <f t="shared" si="214"/>
        <v>0</v>
      </c>
      <c r="BJ49" s="12">
        <f t="shared" si="214"/>
        <v>0</v>
      </c>
      <c r="BK49" s="12">
        <f t="shared" si="214"/>
        <v>0</v>
      </c>
      <c r="BL49" s="12">
        <f t="shared" si="214"/>
        <v>0</v>
      </c>
      <c r="BM49" s="12">
        <f t="shared" si="214"/>
        <v>0</v>
      </c>
      <c r="BN49" s="12">
        <f t="shared" si="214"/>
        <v>0</v>
      </c>
      <c r="BO49" s="12">
        <f t="shared" si="214"/>
        <v>0</v>
      </c>
      <c r="BP49" s="12">
        <f t="shared" si="214"/>
        <v>0</v>
      </c>
      <c r="BQ49" s="12">
        <f t="shared" si="214"/>
        <v>0</v>
      </c>
      <c r="BR49" s="12">
        <f t="shared" si="214"/>
        <v>0</v>
      </c>
      <c r="BS49" s="12">
        <f t="shared" si="214"/>
        <v>0</v>
      </c>
      <c r="BT49" s="12">
        <f t="shared" si="214"/>
        <v>0</v>
      </c>
      <c r="BU49" s="12">
        <f t="shared" si="214"/>
        <v>0</v>
      </c>
      <c r="BV49" s="12">
        <f t="shared" si="214"/>
        <v>0</v>
      </c>
      <c r="BW49" s="12">
        <f t="shared" si="214"/>
        <v>0</v>
      </c>
      <c r="BX49" s="12">
        <f t="shared" si="214"/>
        <v>0</v>
      </c>
      <c r="BY49" s="12">
        <f t="shared" si="214"/>
        <v>0</v>
      </c>
      <c r="BZ49" s="12">
        <f t="shared" si="214"/>
        <v>0</v>
      </c>
      <c r="CA49" s="12">
        <f t="shared" si="214"/>
        <v>0</v>
      </c>
      <c r="CB49" s="12">
        <f t="shared" si="214"/>
        <v>0</v>
      </c>
      <c r="CC49" s="12">
        <f t="shared" si="214"/>
        <v>0</v>
      </c>
      <c r="CD49" s="12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2"/>
      <c r="CQ49" s="17"/>
      <c r="CR49" s="17"/>
      <c r="CS49" s="17"/>
      <c r="CT49" s="17"/>
      <c r="CU49" s="17"/>
      <c r="CV49" s="12"/>
      <c r="CW49" s="17"/>
      <c r="CX49" s="17"/>
      <c r="CY49" s="17"/>
      <c r="CZ49" s="17"/>
      <c r="DA49" s="17"/>
      <c r="DB49" s="17"/>
      <c r="DC49" s="17"/>
      <c r="DD49" s="17"/>
      <c r="DE49" s="12"/>
      <c r="DF49" s="17"/>
      <c r="DG49" s="17"/>
      <c r="DH49" s="17"/>
      <c r="DI49" s="36">
        <f>(AT49+SUM(AU49:AX49)*6+SUM(AY49:CC49)-SUM(CD49:DH49))</f>
        <v>8</v>
      </c>
      <c r="DJ49" s="12">
        <f t="shared" si="175"/>
        <v>8000</v>
      </c>
      <c r="DK49" s="12">
        <f t="shared" si="148"/>
        <v>0</v>
      </c>
      <c r="DL49" s="12">
        <f t="shared" si="176"/>
        <v>0</v>
      </c>
      <c r="DM49" s="12">
        <f t="shared" si="149"/>
        <v>0</v>
      </c>
      <c r="DN49" s="12">
        <f t="shared" si="177"/>
        <v>0</v>
      </c>
      <c r="DO49" s="12">
        <f t="shared" si="150"/>
        <v>0</v>
      </c>
      <c r="DP49" s="12">
        <f t="shared" si="178"/>
        <v>0</v>
      </c>
      <c r="DQ49" s="12">
        <f t="shared" si="151"/>
        <v>0</v>
      </c>
      <c r="DR49" s="12">
        <f t="shared" si="179"/>
        <v>0</v>
      </c>
      <c r="DS49" s="12">
        <f t="shared" si="152"/>
        <v>0</v>
      </c>
      <c r="DT49" s="12">
        <f t="shared" si="180"/>
        <v>0</v>
      </c>
    </row>
    <row r="50" spans="1:124" ht="14.25" customHeight="1">
      <c r="A50" s="12">
        <v>46</v>
      </c>
      <c r="B50" s="32" t="s">
        <v>83</v>
      </c>
      <c r="C50" s="14"/>
      <c r="D50" s="95"/>
      <c r="E50" s="56">
        <v>0</v>
      </c>
      <c r="F50" s="103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2">
        <f t="shared" si="181"/>
        <v>0</v>
      </c>
      <c r="AP50" s="17">
        <f>AO50*700</f>
        <v>0</v>
      </c>
      <c r="AQ50" s="12">
        <f t="shared" si="146"/>
        <v>1400</v>
      </c>
      <c r="AR50" s="20" t="s">
        <v>84</v>
      </c>
      <c r="AS50" s="126">
        <f t="shared" si="153"/>
        <v>2</v>
      </c>
      <c r="AT50" s="56">
        <v>2</v>
      </c>
      <c r="AU50" s="50"/>
      <c r="AV50" s="12"/>
      <c r="AW50" s="12"/>
      <c r="AX50" s="12"/>
      <c r="AY50" s="12">
        <f t="shared" si="154"/>
        <v>0</v>
      </c>
      <c r="AZ50" s="12">
        <f t="shared" si="183"/>
        <v>0</v>
      </c>
      <c r="BA50" s="12">
        <f t="shared" si="184"/>
        <v>0</v>
      </c>
      <c r="BB50" s="12">
        <f t="shared" si="185"/>
        <v>0</v>
      </c>
      <c r="BC50" s="12">
        <f t="shared" si="186"/>
        <v>0</v>
      </c>
      <c r="BD50" s="12">
        <f t="shared" si="187"/>
        <v>0</v>
      </c>
      <c r="BE50" s="12">
        <f t="shared" si="188"/>
        <v>0</v>
      </c>
      <c r="BF50" s="12">
        <f t="shared" si="189"/>
        <v>0</v>
      </c>
      <c r="BG50" s="12">
        <f t="shared" si="190"/>
        <v>0</v>
      </c>
      <c r="BH50" s="12">
        <f t="shared" si="191"/>
        <v>0</v>
      </c>
      <c r="BI50" s="12">
        <f t="shared" si="192"/>
        <v>0</v>
      </c>
      <c r="BJ50" s="12">
        <f t="shared" si="193"/>
        <v>0</v>
      </c>
      <c r="BK50" s="12">
        <f t="shared" si="194"/>
        <v>0</v>
      </c>
      <c r="BL50" s="12">
        <f t="shared" si="195"/>
        <v>0</v>
      </c>
      <c r="BM50" s="12">
        <f t="shared" si="196"/>
        <v>0</v>
      </c>
      <c r="BN50" s="12">
        <f t="shared" si="197"/>
        <v>0</v>
      </c>
      <c r="BO50" s="12">
        <f t="shared" si="198"/>
        <v>0</v>
      </c>
      <c r="BP50" s="12">
        <f t="shared" si="199"/>
        <v>0</v>
      </c>
      <c r="BQ50" s="12">
        <f t="shared" si="200"/>
        <v>0</v>
      </c>
      <c r="BR50" s="12">
        <f t="shared" si="201"/>
        <v>0</v>
      </c>
      <c r="BS50" s="12">
        <f t="shared" si="202"/>
        <v>0</v>
      </c>
      <c r="BT50" s="12">
        <f t="shared" si="203"/>
        <v>0</v>
      </c>
      <c r="BU50" s="12">
        <f t="shared" si="204"/>
        <v>0</v>
      </c>
      <c r="BV50" s="12">
        <f t="shared" si="205"/>
        <v>0</v>
      </c>
      <c r="BW50" s="12">
        <f t="shared" si="206"/>
        <v>0</v>
      </c>
      <c r="BX50" s="12">
        <f t="shared" si="207"/>
        <v>0</v>
      </c>
      <c r="BY50" s="12">
        <f t="shared" si="208"/>
        <v>0</v>
      </c>
      <c r="BZ50" s="12">
        <f t="shared" si="209"/>
        <v>0</v>
      </c>
      <c r="CA50" s="12">
        <f t="shared" si="210"/>
        <v>0</v>
      </c>
      <c r="CB50" s="12">
        <f t="shared" si="211"/>
        <v>0</v>
      </c>
      <c r="CC50" s="12">
        <f t="shared" si="212"/>
        <v>0</v>
      </c>
      <c r="CD50" s="12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2"/>
      <c r="CQ50" s="17"/>
      <c r="CR50" s="17"/>
      <c r="CS50" s="17"/>
      <c r="CT50" s="17"/>
      <c r="CU50" s="17"/>
      <c r="CV50" s="12"/>
      <c r="CW50" s="17"/>
      <c r="CX50" s="17"/>
      <c r="CY50" s="17"/>
      <c r="CZ50" s="17"/>
      <c r="DA50" s="17"/>
      <c r="DB50" s="17"/>
      <c r="DC50" s="17"/>
      <c r="DD50" s="17"/>
      <c r="DE50" s="12"/>
      <c r="DF50" s="17"/>
      <c r="DG50" s="17"/>
      <c r="DH50" s="17"/>
      <c r="DI50" s="36">
        <f>(AT50+SUM(AU50:AX50)+SUM(AY50:CC50)-SUM(CD50:DH50))</f>
        <v>2</v>
      </c>
      <c r="DJ50" s="12">
        <f>DI50*700</f>
        <v>1400</v>
      </c>
      <c r="DK50" s="12">
        <f t="shared" si="148"/>
        <v>0</v>
      </c>
      <c r="DL50" s="12">
        <f>DK50*700</f>
        <v>0</v>
      </c>
      <c r="DM50" s="12">
        <f t="shared" si="149"/>
        <v>0</v>
      </c>
      <c r="DN50" s="12">
        <f>DM50*700</f>
        <v>0</v>
      </c>
      <c r="DO50" s="12">
        <f t="shared" si="150"/>
        <v>0</v>
      </c>
      <c r="DP50" s="12">
        <f>DO50*700</f>
        <v>0</v>
      </c>
      <c r="DQ50" s="12">
        <f t="shared" si="151"/>
        <v>0</v>
      </c>
      <c r="DR50" s="12">
        <f>DQ50*700</f>
        <v>0</v>
      </c>
      <c r="DS50" s="12">
        <f t="shared" si="152"/>
        <v>0</v>
      </c>
      <c r="DT50" s="12">
        <f>DS50*700</f>
        <v>0</v>
      </c>
    </row>
    <row r="51" spans="1:124" ht="14.25" customHeight="1">
      <c r="A51" s="30">
        <v>47</v>
      </c>
      <c r="B51" s="19" t="s">
        <v>85</v>
      </c>
      <c r="C51" s="15" t="s">
        <v>32</v>
      </c>
      <c r="D51" s="95"/>
      <c r="E51" s="56">
        <v>0</v>
      </c>
      <c r="F51" s="103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2">
        <f t="shared" si="181"/>
        <v>0</v>
      </c>
      <c r="AP51" s="17">
        <f t="shared" ref="AP51:AP54" si="215">AO51*10000</f>
        <v>0</v>
      </c>
      <c r="AQ51" s="12">
        <f t="shared" si="146"/>
        <v>90000</v>
      </c>
      <c r="AR51" s="17"/>
      <c r="AS51" s="126">
        <f t="shared" ref="AS51:AS60" si="216">DI51</f>
        <v>9</v>
      </c>
      <c r="AT51" s="56">
        <v>13</v>
      </c>
      <c r="AU51" s="50"/>
      <c r="AV51" s="12"/>
      <c r="AW51" s="12"/>
      <c r="AX51" s="12"/>
      <c r="AY51" s="12">
        <f t="shared" si="154"/>
        <v>0</v>
      </c>
      <c r="AZ51" s="12">
        <f t="shared" si="183"/>
        <v>0</v>
      </c>
      <c r="BA51" s="12">
        <f t="shared" si="184"/>
        <v>0</v>
      </c>
      <c r="BB51" s="12">
        <f t="shared" si="185"/>
        <v>0</v>
      </c>
      <c r="BC51" s="12">
        <f t="shared" si="186"/>
        <v>0</v>
      </c>
      <c r="BD51" s="12">
        <f t="shared" si="187"/>
        <v>0</v>
      </c>
      <c r="BE51" s="12">
        <f t="shared" si="188"/>
        <v>0</v>
      </c>
      <c r="BF51" s="12">
        <f t="shared" si="189"/>
        <v>0</v>
      </c>
      <c r="BG51" s="12">
        <f t="shared" si="190"/>
        <v>0</v>
      </c>
      <c r="BH51" s="12">
        <f t="shared" si="191"/>
        <v>0</v>
      </c>
      <c r="BI51" s="12">
        <f t="shared" si="192"/>
        <v>0</v>
      </c>
      <c r="BJ51" s="12">
        <f t="shared" si="193"/>
        <v>0</v>
      </c>
      <c r="BK51" s="12">
        <f t="shared" si="194"/>
        <v>0</v>
      </c>
      <c r="BL51" s="12">
        <f t="shared" si="195"/>
        <v>0</v>
      </c>
      <c r="BM51" s="12">
        <f t="shared" si="196"/>
        <v>0</v>
      </c>
      <c r="BN51" s="12">
        <f t="shared" si="197"/>
        <v>0</v>
      </c>
      <c r="BO51" s="12">
        <f t="shared" si="198"/>
        <v>0</v>
      </c>
      <c r="BP51" s="12">
        <f t="shared" si="199"/>
        <v>0</v>
      </c>
      <c r="BQ51" s="12">
        <f t="shared" si="200"/>
        <v>0</v>
      </c>
      <c r="BR51" s="12">
        <f t="shared" si="201"/>
        <v>0</v>
      </c>
      <c r="BS51" s="12">
        <f t="shared" si="202"/>
        <v>0</v>
      </c>
      <c r="BT51" s="12">
        <f t="shared" si="203"/>
        <v>0</v>
      </c>
      <c r="BU51" s="12">
        <f t="shared" si="204"/>
        <v>0</v>
      </c>
      <c r="BV51" s="12">
        <f t="shared" si="205"/>
        <v>0</v>
      </c>
      <c r="BW51" s="12">
        <f t="shared" si="206"/>
        <v>0</v>
      </c>
      <c r="BX51" s="12">
        <f t="shared" si="207"/>
        <v>0</v>
      </c>
      <c r="BY51" s="12">
        <f t="shared" si="208"/>
        <v>0</v>
      </c>
      <c r="BZ51" s="12">
        <f t="shared" si="209"/>
        <v>0</v>
      </c>
      <c r="CA51" s="12">
        <f t="shared" si="210"/>
        <v>0</v>
      </c>
      <c r="CB51" s="12">
        <f t="shared" si="211"/>
        <v>0</v>
      </c>
      <c r="CC51" s="12">
        <f t="shared" si="212"/>
        <v>0</v>
      </c>
      <c r="CD51" s="12"/>
      <c r="CE51" s="17"/>
      <c r="CF51" s="17"/>
      <c r="CG51" s="17">
        <v>1</v>
      </c>
      <c r="CH51" s="17"/>
      <c r="CI51" s="17"/>
      <c r="CJ51" s="17"/>
      <c r="CK51" s="17"/>
      <c r="CL51" s="17"/>
      <c r="CM51" s="17"/>
      <c r="CN51" s="17"/>
      <c r="CO51" s="17">
        <v>2</v>
      </c>
      <c r="CP51" s="12"/>
      <c r="CQ51" s="17"/>
      <c r="CR51" s="17"/>
      <c r="CS51" s="17"/>
      <c r="CT51" s="17">
        <v>1</v>
      </c>
      <c r="CU51" s="17"/>
      <c r="CV51" s="12"/>
      <c r="CW51" s="17"/>
      <c r="CX51" s="17"/>
      <c r="CY51" s="17"/>
      <c r="CZ51" s="17"/>
      <c r="DA51" s="17"/>
      <c r="DB51" s="17"/>
      <c r="DC51" s="17"/>
      <c r="DD51" s="17"/>
      <c r="DE51" s="12"/>
      <c r="DF51" s="17"/>
      <c r="DG51" s="17"/>
      <c r="DH51" s="17"/>
      <c r="DI51" s="36">
        <f>(AT51+SUM(AU51:AX51)+SUM(AY51:CC51)-SUM(CD51:DH51))</f>
        <v>9</v>
      </c>
      <c r="DJ51" s="12">
        <f t="shared" ref="DJ51:DJ54" si="217">DI51*10000</f>
        <v>90000</v>
      </c>
      <c r="DK51" s="12">
        <f t="shared" si="148"/>
        <v>1</v>
      </c>
      <c r="DL51" s="12">
        <f t="shared" ref="DL51:DL54" si="218">DK51*10000</f>
        <v>10000</v>
      </c>
      <c r="DM51" s="12">
        <f t="shared" si="149"/>
        <v>2</v>
      </c>
      <c r="DN51" s="12">
        <f t="shared" ref="DN51:DN54" si="219">DM51*10000</f>
        <v>20000</v>
      </c>
      <c r="DO51" s="12">
        <f t="shared" si="150"/>
        <v>1</v>
      </c>
      <c r="DP51" s="12">
        <f t="shared" ref="DP51:DP54" si="220">DO51*10000</f>
        <v>10000</v>
      </c>
      <c r="DQ51" s="12">
        <f t="shared" si="151"/>
        <v>0</v>
      </c>
      <c r="DR51" s="12">
        <f t="shared" ref="DR51:DR54" si="221">DQ51*10000</f>
        <v>0</v>
      </c>
      <c r="DS51" s="12">
        <f t="shared" si="152"/>
        <v>4</v>
      </c>
      <c r="DT51" s="12">
        <f t="shared" ref="DT51:DT54" si="222">DS51*10000</f>
        <v>40000</v>
      </c>
    </row>
    <row r="52" spans="1:124" ht="14.25" customHeight="1">
      <c r="A52" s="30">
        <v>48</v>
      </c>
      <c r="B52" s="19" t="s">
        <v>86</v>
      </c>
      <c r="C52" s="15" t="s">
        <v>32</v>
      </c>
      <c r="D52" s="95"/>
      <c r="E52" s="56">
        <v>0</v>
      </c>
      <c r="F52" s="10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2">
        <f t="shared" si="181"/>
        <v>0</v>
      </c>
      <c r="AP52" s="17">
        <f t="shared" si="215"/>
        <v>0</v>
      </c>
      <c r="AQ52" s="12">
        <f t="shared" si="146"/>
        <v>120000</v>
      </c>
      <c r="AR52" s="17"/>
      <c r="AS52" s="126">
        <f t="shared" si="216"/>
        <v>12</v>
      </c>
      <c r="AT52" s="56">
        <v>13</v>
      </c>
      <c r="AU52" s="50">
        <v>7</v>
      </c>
      <c r="AV52" s="12"/>
      <c r="AW52" s="12"/>
      <c r="AX52" s="12"/>
      <c r="AY52" s="12">
        <f t="shared" si="154"/>
        <v>0</v>
      </c>
      <c r="AZ52" s="12">
        <f t="shared" si="183"/>
        <v>0</v>
      </c>
      <c r="BA52" s="12">
        <f t="shared" si="184"/>
        <v>0</v>
      </c>
      <c r="BB52" s="12">
        <f t="shared" si="185"/>
        <v>0</v>
      </c>
      <c r="BC52" s="12">
        <f t="shared" si="186"/>
        <v>0</v>
      </c>
      <c r="BD52" s="12">
        <f t="shared" si="187"/>
        <v>0</v>
      </c>
      <c r="BE52" s="12">
        <f t="shared" si="188"/>
        <v>0</v>
      </c>
      <c r="BF52" s="12">
        <f t="shared" si="189"/>
        <v>0</v>
      </c>
      <c r="BG52" s="12">
        <f t="shared" si="190"/>
        <v>0</v>
      </c>
      <c r="BH52" s="12">
        <f t="shared" si="191"/>
        <v>0</v>
      </c>
      <c r="BI52" s="12">
        <f t="shared" si="192"/>
        <v>0</v>
      </c>
      <c r="BJ52" s="12">
        <f t="shared" si="193"/>
        <v>0</v>
      </c>
      <c r="BK52" s="12">
        <f t="shared" si="194"/>
        <v>0</v>
      </c>
      <c r="BL52" s="12">
        <f t="shared" si="195"/>
        <v>0</v>
      </c>
      <c r="BM52" s="12">
        <f t="shared" si="196"/>
        <v>0</v>
      </c>
      <c r="BN52" s="12">
        <f t="shared" si="197"/>
        <v>0</v>
      </c>
      <c r="BO52" s="12">
        <f t="shared" si="198"/>
        <v>0</v>
      </c>
      <c r="BP52" s="12">
        <f t="shared" si="199"/>
        <v>0</v>
      </c>
      <c r="BQ52" s="12">
        <f t="shared" si="200"/>
        <v>0</v>
      </c>
      <c r="BR52" s="12">
        <f t="shared" si="201"/>
        <v>0</v>
      </c>
      <c r="BS52" s="12">
        <f t="shared" si="202"/>
        <v>0</v>
      </c>
      <c r="BT52" s="12">
        <f t="shared" si="203"/>
        <v>0</v>
      </c>
      <c r="BU52" s="12">
        <f t="shared" si="204"/>
        <v>0</v>
      </c>
      <c r="BV52" s="12">
        <f t="shared" si="205"/>
        <v>0</v>
      </c>
      <c r="BW52" s="12">
        <f t="shared" si="206"/>
        <v>0</v>
      </c>
      <c r="BX52" s="12">
        <f t="shared" si="207"/>
        <v>0</v>
      </c>
      <c r="BY52" s="12">
        <f t="shared" si="208"/>
        <v>0</v>
      </c>
      <c r="BZ52" s="12">
        <f t="shared" si="209"/>
        <v>0</v>
      </c>
      <c r="CA52" s="12">
        <f t="shared" si="210"/>
        <v>0</v>
      </c>
      <c r="CB52" s="12">
        <f t="shared" si="211"/>
        <v>0</v>
      </c>
      <c r="CC52" s="12">
        <f t="shared" si="212"/>
        <v>0</v>
      </c>
      <c r="CD52" s="12"/>
      <c r="CE52" s="17"/>
      <c r="CF52" s="17"/>
      <c r="CG52" s="17">
        <v>1</v>
      </c>
      <c r="CH52" s="17"/>
      <c r="CI52" s="17"/>
      <c r="CJ52" s="17"/>
      <c r="CK52" s="17"/>
      <c r="CL52" s="17"/>
      <c r="CM52" s="17"/>
      <c r="CN52" s="54"/>
      <c r="CO52" s="17">
        <v>5</v>
      </c>
      <c r="CP52" s="12"/>
      <c r="CQ52" s="17"/>
      <c r="CR52" s="17"/>
      <c r="CS52" s="17"/>
      <c r="CT52" s="17">
        <v>2</v>
      </c>
      <c r="CU52" s="17"/>
      <c r="CV52" s="12"/>
      <c r="CW52" s="17"/>
      <c r="CX52" s="17"/>
      <c r="CY52" s="17"/>
      <c r="CZ52" s="17"/>
      <c r="DA52" s="17"/>
      <c r="DB52" s="17"/>
      <c r="DC52" s="17"/>
      <c r="DD52" s="17"/>
      <c r="DE52" s="12"/>
      <c r="DF52" s="17"/>
      <c r="DG52" s="17"/>
      <c r="DH52" s="17"/>
      <c r="DI52" s="36">
        <f t="shared" ref="DI52:DI54" si="223">(AT52+SUM(AU52:AX52)+SUM(AY52:CC52)-SUM(CD52:DH52))</f>
        <v>12</v>
      </c>
      <c r="DJ52" s="12">
        <f t="shared" si="217"/>
        <v>120000</v>
      </c>
      <c r="DK52" s="12">
        <f t="shared" si="148"/>
        <v>1</v>
      </c>
      <c r="DL52" s="12">
        <f t="shared" si="218"/>
        <v>10000</v>
      </c>
      <c r="DM52" s="12">
        <f t="shared" si="149"/>
        <v>5</v>
      </c>
      <c r="DN52" s="12">
        <f t="shared" si="219"/>
        <v>50000</v>
      </c>
      <c r="DO52" s="12">
        <f t="shared" si="150"/>
        <v>2</v>
      </c>
      <c r="DP52" s="12">
        <f t="shared" si="220"/>
        <v>20000</v>
      </c>
      <c r="DQ52" s="12">
        <f t="shared" si="151"/>
        <v>0</v>
      </c>
      <c r="DR52" s="12">
        <f t="shared" si="221"/>
        <v>0</v>
      </c>
      <c r="DS52" s="12">
        <f t="shared" si="152"/>
        <v>8</v>
      </c>
      <c r="DT52" s="12">
        <f t="shared" si="222"/>
        <v>80000</v>
      </c>
    </row>
    <row r="53" spans="1:124" ht="14.25" customHeight="1">
      <c r="A53" s="30">
        <v>49</v>
      </c>
      <c r="B53" s="19" t="s">
        <v>87</v>
      </c>
      <c r="C53" s="15" t="s">
        <v>32</v>
      </c>
      <c r="D53" s="95"/>
      <c r="E53" s="56">
        <v>0</v>
      </c>
      <c r="F53" s="103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2">
        <f t="shared" si="181"/>
        <v>0</v>
      </c>
      <c r="AP53" s="17">
        <f t="shared" si="215"/>
        <v>0</v>
      </c>
      <c r="AQ53" s="12">
        <f t="shared" si="146"/>
        <v>20000</v>
      </c>
      <c r="AR53" s="17"/>
      <c r="AS53" s="126">
        <f t="shared" si="216"/>
        <v>2</v>
      </c>
      <c r="AT53" s="56">
        <v>2</v>
      </c>
      <c r="AU53" s="50">
        <v>1</v>
      </c>
      <c r="AV53" s="12"/>
      <c r="AW53" s="12"/>
      <c r="AX53" s="12"/>
      <c r="AY53" s="12">
        <f t="shared" si="154"/>
        <v>0</v>
      </c>
      <c r="AZ53" s="12">
        <f t="shared" si="183"/>
        <v>0</v>
      </c>
      <c r="BA53" s="12">
        <f t="shared" si="184"/>
        <v>0</v>
      </c>
      <c r="BB53" s="12">
        <f t="shared" si="185"/>
        <v>0</v>
      </c>
      <c r="BC53" s="12">
        <f t="shared" si="186"/>
        <v>0</v>
      </c>
      <c r="BD53" s="12">
        <f t="shared" si="187"/>
        <v>0</v>
      </c>
      <c r="BE53" s="12">
        <f t="shared" si="188"/>
        <v>0</v>
      </c>
      <c r="BF53" s="12">
        <f t="shared" si="189"/>
        <v>0</v>
      </c>
      <c r="BG53" s="12">
        <f t="shared" si="190"/>
        <v>0</v>
      </c>
      <c r="BH53" s="12">
        <f t="shared" si="191"/>
        <v>0</v>
      </c>
      <c r="BI53" s="12">
        <f t="shared" si="192"/>
        <v>0</v>
      </c>
      <c r="BJ53" s="12">
        <f t="shared" si="193"/>
        <v>0</v>
      </c>
      <c r="BK53" s="12">
        <f t="shared" si="194"/>
        <v>0</v>
      </c>
      <c r="BL53" s="12">
        <f t="shared" si="195"/>
        <v>0</v>
      </c>
      <c r="BM53" s="12">
        <f t="shared" si="196"/>
        <v>0</v>
      </c>
      <c r="BN53" s="12">
        <f t="shared" si="197"/>
        <v>0</v>
      </c>
      <c r="BO53" s="12">
        <f t="shared" si="198"/>
        <v>0</v>
      </c>
      <c r="BP53" s="12">
        <f t="shared" si="199"/>
        <v>0</v>
      </c>
      <c r="BQ53" s="12">
        <f t="shared" si="200"/>
        <v>0</v>
      </c>
      <c r="BR53" s="12">
        <f t="shared" si="201"/>
        <v>0</v>
      </c>
      <c r="BS53" s="12">
        <f t="shared" si="202"/>
        <v>0</v>
      </c>
      <c r="BT53" s="12">
        <f t="shared" si="203"/>
        <v>0</v>
      </c>
      <c r="BU53" s="12">
        <f t="shared" si="204"/>
        <v>0</v>
      </c>
      <c r="BV53" s="12">
        <f t="shared" si="205"/>
        <v>0</v>
      </c>
      <c r="BW53" s="12">
        <f t="shared" si="206"/>
        <v>0</v>
      </c>
      <c r="BX53" s="12">
        <f t="shared" si="207"/>
        <v>0</v>
      </c>
      <c r="BY53" s="12">
        <f t="shared" si="208"/>
        <v>0</v>
      </c>
      <c r="BZ53" s="12">
        <f t="shared" si="209"/>
        <v>0</v>
      </c>
      <c r="CA53" s="12">
        <f t="shared" si="210"/>
        <v>0</v>
      </c>
      <c r="CB53" s="12">
        <f t="shared" si="211"/>
        <v>0</v>
      </c>
      <c r="CC53" s="12">
        <f t="shared" si="212"/>
        <v>0</v>
      </c>
      <c r="CD53" s="12"/>
      <c r="CE53" s="17"/>
      <c r="CF53" s="17"/>
      <c r="CG53" s="17">
        <v>1</v>
      </c>
      <c r="CH53" s="17"/>
      <c r="CI53" s="17"/>
      <c r="CJ53" s="17"/>
      <c r="CK53" s="17"/>
      <c r="CL53" s="17"/>
      <c r="CM53" s="17"/>
      <c r="CN53" s="17"/>
      <c r="CO53" s="17"/>
      <c r="CP53" s="12"/>
      <c r="CQ53" s="17"/>
      <c r="CR53" s="17"/>
      <c r="CS53" s="17"/>
      <c r="CT53" s="17"/>
      <c r="CU53" s="17"/>
      <c r="CV53" s="12"/>
      <c r="CW53" s="17"/>
      <c r="CX53" s="17"/>
      <c r="CY53" s="17"/>
      <c r="CZ53" s="17"/>
      <c r="DA53" s="17"/>
      <c r="DB53" s="17"/>
      <c r="DC53" s="17"/>
      <c r="DD53" s="17"/>
      <c r="DE53" s="12"/>
      <c r="DF53" s="17"/>
      <c r="DG53" s="17"/>
      <c r="DH53" s="17"/>
      <c r="DI53" s="36">
        <f t="shared" si="223"/>
        <v>2</v>
      </c>
      <c r="DJ53" s="12">
        <f t="shared" si="217"/>
        <v>20000</v>
      </c>
      <c r="DK53" s="12">
        <f t="shared" si="148"/>
        <v>1</v>
      </c>
      <c r="DL53" s="12">
        <f t="shared" si="218"/>
        <v>10000</v>
      </c>
      <c r="DM53" s="12">
        <f t="shared" si="149"/>
        <v>0</v>
      </c>
      <c r="DN53" s="12">
        <f t="shared" si="219"/>
        <v>0</v>
      </c>
      <c r="DO53" s="12">
        <f t="shared" si="150"/>
        <v>0</v>
      </c>
      <c r="DP53" s="12">
        <f t="shared" si="220"/>
        <v>0</v>
      </c>
      <c r="DQ53" s="12">
        <f t="shared" si="151"/>
        <v>0</v>
      </c>
      <c r="DR53" s="12">
        <f t="shared" si="221"/>
        <v>0</v>
      </c>
      <c r="DS53" s="12">
        <f t="shared" si="152"/>
        <v>1</v>
      </c>
      <c r="DT53" s="12">
        <f t="shared" si="222"/>
        <v>10000</v>
      </c>
    </row>
    <row r="54" spans="1:124" ht="14.25" customHeight="1">
      <c r="A54" s="30">
        <v>50</v>
      </c>
      <c r="B54" s="19" t="s">
        <v>88</v>
      </c>
      <c r="C54" s="15" t="s">
        <v>32</v>
      </c>
      <c r="D54" s="95"/>
      <c r="E54" s="56">
        <v>0</v>
      </c>
      <c r="F54" s="103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2">
        <f t="shared" si="181"/>
        <v>0</v>
      </c>
      <c r="AP54" s="17">
        <f t="shared" si="215"/>
        <v>0</v>
      </c>
      <c r="AQ54" s="12">
        <f t="shared" si="146"/>
        <v>30000</v>
      </c>
      <c r="AR54" s="17"/>
      <c r="AS54" s="126">
        <f t="shared" si="216"/>
        <v>3</v>
      </c>
      <c r="AT54" s="56">
        <v>3</v>
      </c>
      <c r="AU54" s="50">
        <v>2</v>
      </c>
      <c r="AV54" s="12"/>
      <c r="AW54" s="12"/>
      <c r="AX54" s="12"/>
      <c r="AY54" s="12">
        <f t="shared" si="154"/>
        <v>0</v>
      </c>
      <c r="AZ54" s="12">
        <f t="shared" si="183"/>
        <v>0</v>
      </c>
      <c r="BA54" s="12">
        <f t="shared" si="184"/>
        <v>0</v>
      </c>
      <c r="BB54" s="12">
        <f t="shared" si="185"/>
        <v>0</v>
      </c>
      <c r="BC54" s="12">
        <f t="shared" si="186"/>
        <v>0</v>
      </c>
      <c r="BD54" s="12">
        <f t="shared" si="187"/>
        <v>0</v>
      </c>
      <c r="BE54" s="12">
        <f t="shared" si="188"/>
        <v>0</v>
      </c>
      <c r="BF54" s="12">
        <f t="shared" si="189"/>
        <v>0</v>
      </c>
      <c r="BG54" s="12">
        <f t="shared" si="190"/>
        <v>0</v>
      </c>
      <c r="BH54" s="12">
        <f t="shared" si="191"/>
        <v>0</v>
      </c>
      <c r="BI54" s="12">
        <f t="shared" si="192"/>
        <v>0</v>
      </c>
      <c r="BJ54" s="12">
        <f t="shared" si="193"/>
        <v>0</v>
      </c>
      <c r="BK54" s="12">
        <f t="shared" si="194"/>
        <v>0</v>
      </c>
      <c r="BL54" s="12">
        <f t="shared" si="195"/>
        <v>0</v>
      </c>
      <c r="BM54" s="12">
        <f t="shared" si="196"/>
        <v>0</v>
      </c>
      <c r="BN54" s="12">
        <f t="shared" si="197"/>
        <v>0</v>
      </c>
      <c r="BO54" s="12">
        <f t="shared" si="198"/>
        <v>0</v>
      </c>
      <c r="BP54" s="12">
        <f t="shared" si="199"/>
        <v>0</v>
      </c>
      <c r="BQ54" s="12">
        <f t="shared" si="200"/>
        <v>0</v>
      </c>
      <c r="BR54" s="12">
        <f t="shared" si="201"/>
        <v>0</v>
      </c>
      <c r="BS54" s="12">
        <f t="shared" si="202"/>
        <v>0</v>
      </c>
      <c r="BT54" s="12">
        <f t="shared" si="203"/>
        <v>0</v>
      </c>
      <c r="BU54" s="12">
        <f t="shared" si="204"/>
        <v>0</v>
      </c>
      <c r="BV54" s="12">
        <f t="shared" si="205"/>
        <v>0</v>
      </c>
      <c r="BW54" s="12">
        <f t="shared" si="206"/>
        <v>0</v>
      </c>
      <c r="BX54" s="12">
        <f t="shared" si="207"/>
        <v>0</v>
      </c>
      <c r="BY54" s="12">
        <f t="shared" si="208"/>
        <v>0</v>
      </c>
      <c r="BZ54" s="12">
        <f t="shared" si="209"/>
        <v>0</v>
      </c>
      <c r="CA54" s="12">
        <f t="shared" si="210"/>
        <v>0</v>
      </c>
      <c r="CB54" s="12">
        <f t="shared" si="211"/>
        <v>0</v>
      </c>
      <c r="CC54" s="12">
        <f t="shared" si="212"/>
        <v>0</v>
      </c>
      <c r="CD54" s="12"/>
      <c r="CE54" s="17"/>
      <c r="CF54" s="17"/>
      <c r="CG54" s="17">
        <v>1</v>
      </c>
      <c r="CH54" s="17"/>
      <c r="CI54" s="17"/>
      <c r="CJ54" s="17"/>
      <c r="CK54" s="17"/>
      <c r="CL54" s="17"/>
      <c r="CM54" s="17"/>
      <c r="CN54" s="17"/>
      <c r="CO54" s="17"/>
      <c r="CP54" s="12"/>
      <c r="CQ54" s="17"/>
      <c r="CR54" s="17"/>
      <c r="CS54" s="17"/>
      <c r="CT54" s="17">
        <v>1</v>
      </c>
      <c r="CU54" s="17"/>
      <c r="CV54" s="12"/>
      <c r="CW54" s="17"/>
      <c r="CX54" s="17"/>
      <c r="CY54" s="17"/>
      <c r="CZ54" s="17"/>
      <c r="DA54" s="17"/>
      <c r="DB54" s="17"/>
      <c r="DC54" s="17"/>
      <c r="DD54" s="17"/>
      <c r="DE54" s="12"/>
      <c r="DF54" s="17"/>
      <c r="DG54" s="17"/>
      <c r="DH54" s="17"/>
      <c r="DI54" s="36">
        <f t="shared" si="223"/>
        <v>3</v>
      </c>
      <c r="DJ54" s="12">
        <f t="shared" si="217"/>
        <v>30000</v>
      </c>
      <c r="DK54" s="12">
        <f t="shared" si="148"/>
        <v>1</v>
      </c>
      <c r="DL54" s="12">
        <f t="shared" si="218"/>
        <v>10000</v>
      </c>
      <c r="DM54" s="12">
        <f t="shared" si="149"/>
        <v>0</v>
      </c>
      <c r="DN54" s="12">
        <f t="shared" si="219"/>
        <v>0</v>
      </c>
      <c r="DO54" s="12">
        <f t="shared" si="150"/>
        <v>1</v>
      </c>
      <c r="DP54" s="12">
        <f t="shared" si="220"/>
        <v>10000</v>
      </c>
      <c r="DQ54" s="12">
        <f t="shared" si="151"/>
        <v>0</v>
      </c>
      <c r="DR54" s="12">
        <f t="shared" si="221"/>
        <v>0</v>
      </c>
      <c r="DS54" s="12">
        <f t="shared" si="152"/>
        <v>2</v>
      </c>
      <c r="DT54" s="12">
        <f t="shared" si="222"/>
        <v>20000</v>
      </c>
    </row>
    <row r="55" spans="1:124" ht="14.25" customHeight="1">
      <c r="A55" s="12">
        <v>51</v>
      </c>
      <c r="B55" s="19" t="s">
        <v>89</v>
      </c>
      <c r="C55" s="14"/>
      <c r="D55" s="95"/>
      <c r="E55" s="56">
        <v>2</v>
      </c>
      <c r="F55" s="103"/>
      <c r="G55" s="17"/>
      <c r="H55" s="17"/>
      <c r="I55" s="17"/>
      <c r="J55" s="17">
        <v>2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2">
        <f>(E55+F55+G55+H55+I55-J55-K55-L55-M55-N55-O55-P55-Q55-R55-S55-T55-U55-V55-W55-X55-Y55-Z55-AA55-AB55-AC55-AD55-AE55-AF55-AG55-AH55-AI55-AJ55-AK55-AL55-AM55-AN55)</f>
        <v>0</v>
      </c>
      <c r="AP55" s="17">
        <f>AO55*5400</f>
        <v>0</v>
      </c>
      <c r="AQ55" s="12">
        <f t="shared" si="146"/>
        <v>15750</v>
      </c>
      <c r="AR55" s="17"/>
      <c r="AS55" s="126">
        <f t="shared" si="216"/>
        <v>35</v>
      </c>
      <c r="AT55" s="56">
        <v>11</v>
      </c>
      <c r="AU55" s="50"/>
      <c r="AV55" s="12"/>
      <c r="AW55" s="12"/>
      <c r="AX55" s="12"/>
      <c r="AY55" s="12">
        <f>J55*12</f>
        <v>24</v>
      </c>
      <c r="AZ55" s="12">
        <f t="shared" ref="AZ55:CC56" si="224">K55*12</f>
        <v>0</v>
      </c>
      <c r="BA55" s="12">
        <f t="shared" si="224"/>
        <v>0</v>
      </c>
      <c r="BB55" s="12">
        <f t="shared" si="224"/>
        <v>0</v>
      </c>
      <c r="BC55" s="12">
        <f t="shared" si="224"/>
        <v>0</v>
      </c>
      <c r="BD55" s="12">
        <f t="shared" si="224"/>
        <v>0</v>
      </c>
      <c r="BE55" s="12">
        <f t="shared" si="224"/>
        <v>0</v>
      </c>
      <c r="BF55" s="12">
        <f t="shared" si="224"/>
        <v>0</v>
      </c>
      <c r="BG55" s="12">
        <f t="shared" si="224"/>
        <v>0</v>
      </c>
      <c r="BH55" s="12">
        <f t="shared" si="224"/>
        <v>0</v>
      </c>
      <c r="BI55" s="12">
        <f t="shared" si="224"/>
        <v>0</v>
      </c>
      <c r="BJ55" s="12">
        <f t="shared" si="224"/>
        <v>0</v>
      </c>
      <c r="BK55" s="12">
        <f t="shared" si="224"/>
        <v>0</v>
      </c>
      <c r="BL55" s="12">
        <f t="shared" si="224"/>
        <v>0</v>
      </c>
      <c r="BM55" s="12">
        <f t="shared" si="224"/>
        <v>0</v>
      </c>
      <c r="BN55" s="12">
        <f t="shared" si="224"/>
        <v>0</v>
      </c>
      <c r="BO55" s="12">
        <f t="shared" si="224"/>
        <v>0</v>
      </c>
      <c r="BP55" s="12">
        <f t="shared" si="224"/>
        <v>0</v>
      </c>
      <c r="BQ55" s="12">
        <f t="shared" si="224"/>
        <v>0</v>
      </c>
      <c r="BR55" s="12">
        <f t="shared" si="224"/>
        <v>0</v>
      </c>
      <c r="BS55" s="12">
        <f t="shared" si="224"/>
        <v>0</v>
      </c>
      <c r="BT55" s="12">
        <f t="shared" si="224"/>
        <v>0</v>
      </c>
      <c r="BU55" s="12">
        <f t="shared" si="224"/>
        <v>0</v>
      </c>
      <c r="BV55" s="12">
        <f t="shared" si="224"/>
        <v>0</v>
      </c>
      <c r="BW55" s="12">
        <f t="shared" si="224"/>
        <v>0</v>
      </c>
      <c r="BX55" s="12">
        <f t="shared" si="224"/>
        <v>0</v>
      </c>
      <c r="BY55" s="12">
        <f t="shared" si="224"/>
        <v>0</v>
      </c>
      <c r="BZ55" s="12">
        <f t="shared" si="224"/>
        <v>0</v>
      </c>
      <c r="CA55" s="12">
        <f t="shared" si="224"/>
        <v>0</v>
      </c>
      <c r="CB55" s="12">
        <f t="shared" si="224"/>
        <v>0</v>
      </c>
      <c r="CC55" s="12">
        <f t="shared" si="224"/>
        <v>0</v>
      </c>
      <c r="CD55" s="12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2"/>
      <c r="CQ55" s="17"/>
      <c r="CR55" s="17"/>
      <c r="CS55" s="17"/>
      <c r="CT55" s="17"/>
      <c r="CU55" s="17"/>
      <c r="CV55" s="12"/>
      <c r="CW55" s="17"/>
      <c r="CX55" s="17"/>
      <c r="CY55" s="17"/>
      <c r="CZ55" s="17"/>
      <c r="DA55" s="17"/>
      <c r="DB55" s="17"/>
      <c r="DC55" s="17"/>
      <c r="DD55" s="17"/>
      <c r="DE55" s="12"/>
      <c r="DF55" s="17"/>
      <c r="DG55" s="17"/>
      <c r="DH55" s="17"/>
      <c r="DI55" s="36">
        <f>(AT55+SUM(AU55:AX55)*12+SUM(AY55:CC55)-SUM(CD55:DH55))</f>
        <v>35</v>
      </c>
      <c r="DJ55" s="12">
        <f>DI55*450</f>
        <v>15750</v>
      </c>
      <c r="DK55" s="12">
        <f t="shared" si="148"/>
        <v>0</v>
      </c>
      <c r="DL55" s="12">
        <f>DK55*450</f>
        <v>0</v>
      </c>
      <c r="DM55" s="12">
        <f t="shared" si="149"/>
        <v>0</v>
      </c>
      <c r="DN55" s="12">
        <f>DM55*450</f>
        <v>0</v>
      </c>
      <c r="DO55" s="12">
        <f t="shared" si="150"/>
        <v>0</v>
      </c>
      <c r="DP55" s="12">
        <f>DO55*450</f>
        <v>0</v>
      </c>
      <c r="DQ55" s="12">
        <f t="shared" si="151"/>
        <v>0</v>
      </c>
      <c r="DR55" s="12">
        <f>DQ55*450</f>
        <v>0</v>
      </c>
      <c r="DS55" s="12">
        <f t="shared" si="152"/>
        <v>0</v>
      </c>
      <c r="DT55" s="12">
        <f>DS55*450</f>
        <v>0</v>
      </c>
    </row>
    <row r="56" spans="1:124" ht="14.25" customHeight="1">
      <c r="A56" s="12">
        <v>52</v>
      </c>
      <c r="B56" s="19" t="s">
        <v>90</v>
      </c>
      <c r="C56" s="14"/>
      <c r="D56" s="95"/>
      <c r="E56" s="56">
        <v>4</v>
      </c>
      <c r="F56" s="103"/>
      <c r="G56" s="17"/>
      <c r="H56" s="17"/>
      <c r="I56" s="17"/>
      <c r="J56" s="17">
        <v>3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>
        <v>1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2">
        <f>(E56+F56+G56+H56+I56-J56-K56-L56-M56-N56-O56-P56-Q56-R56-S56-T56-U56-V56-W56-X56-Y56-Z56-AA56-AB56-AC56-AD56-AE56-AF56-AG56-AH56-AI56-AJ56-AK56-AL56-AM56-AN56)</f>
        <v>0</v>
      </c>
      <c r="AP56" s="17">
        <f>AO56*5520</f>
        <v>0</v>
      </c>
      <c r="AQ56" s="12">
        <f t="shared" si="146"/>
        <v>22080</v>
      </c>
      <c r="AR56" s="17"/>
      <c r="AS56" s="126">
        <f t="shared" si="216"/>
        <v>48</v>
      </c>
      <c r="AT56" s="56">
        <v>0</v>
      </c>
      <c r="AU56" s="50"/>
      <c r="AV56" s="12"/>
      <c r="AW56" s="12"/>
      <c r="AX56" s="12"/>
      <c r="AY56" s="12">
        <f>J56*12</f>
        <v>36</v>
      </c>
      <c r="AZ56" s="12">
        <f t="shared" si="224"/>
        <v>0</v>
      </c>
      <c r="BA56" s="12">
        <f t="shared" si="224"/>
        <v>0</v>
      </c>
      <c r="BB56" s="12">
        <f t="shared" si="224"/>
        <v>0</v>
      </c>
      <c r="BC56" s="12">
        <f t="shared" si="224"/>
        <v>0</v>
      </c>
      <c r="BD56" s="12">
        <f t="shared" si="224"/>
        <v>0</v>
      </c>
      <c r="BE56" s="12">
        <f t="shared" si="224"/>
        <v>0</v>
      </c>
      <c r="BF56" s="12">
        <f t="shared" si="224"/>
        <v>0</v>
      </c>
      <c r="BG56" s="12">
        <f t="shared" si="224"/>
        <v>0</v>
      </c>
      <c r="BH56" s="12">
        <f t="shared" si="224"/>
        <v>0</v>
      </c>
      <c r="BI56" s="12">
        <f t="shared" si="224"/>
        <v>0</v>
      </c>
      <c r="BJ56" s="12">
        <f t="shared" si="224"/>
        <v>0</v>
      </c>
      <c r="BK56" s="12">
        <f t="shared" si="224"/>
        <v>0</v>
      </c>
      <c r="BL56" s="12">
        <f t="shared" si="224"/>
        <v>0</v>
      </c>
      <c r="BM56" s="12">
        <f t="shared" si="224"/>
        <v>0</v>
      </c>
      <c r="BN56" s="12">
        <f t="shared" si="224"/>
        <v>0</v>
      </c>
      <c r="BO56" s="12">
        <f t="shared" si="224"/>
        <v>12</v>
      </c>
      <c r="BP56" s="12">
        <f t="shared" si="224"/>
        <v>0</v>
      </c>
      <c r="BQ56" s="12">
        <f t="shared" si="224"/>
        <v>0</v>
      </c>
      <c r="BR56" s="12">
        <f t="shared" si="224"/>
        <v>0</v>
      </c>
      <c r="BS56" s="12">
        <f t="shared" si="224"/>
        <v>0</v>
      </c>
      <c r="BT56" s="12">
        <f t="shared" si="224"/>
        <v>0</v>
      </c>
      <c r="BU56" s="12">
        <f t="shared" si="224"/>
        <v>0</v>
      </c>
      <c r="BV56" s="12">
        <f t="shared" si="224"/>
        <v>0</v>
      </c>
      <c r="BW56" s="12">
        <f t="shared" si="224"/>
        <v>0</v>
      </c>
      <c r="BX56" s="12">
        <f t="shared" si="224"/>
        <v>0</v>
      </c>
      <c r="BY56" s="12">
        <f t="shared" si="224"/>
        <v>0</v>
      </c>
      <c r="BZ56" s="12">
        <f t="shared" si="224"/>
        <v>0</v>
      </c>
      <c r="CA56" s="12">
        <f t="shared" si="224"/>
        <v>0</v>
      </c>
      <c r="CB56" s="12">
        <f t="shared" si="224"/>
        <v>0</v>
      </c>
      <c r="CC56" s="12">
        <f t="shared" si="224"/>
        <v>0</v>
      </c>
      <c r="CD56" s="12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2"/>
      <c r="CQ56" s="17"/>
      <c r="CR56" s="17"/>
      <c r="CS56" s="17"/>
      <c r="CT56" s="17"/>
      <c r="CU56" s="17"/>
      <c r="CV56" s="12"/>
      <c r="CW56" s="17"/>
      <c r="CX56" s="17"/>
      <c r="CY56" s="17"/>
      <c r="CZ56" s="17"/>
      <c r="DA56" s="17"/>
      <c r="DB56" s="17"/>
      <c r="DC56" s="17"/>
      <c r="DD56" s="17"/>
      <c r="DE56" s="12"/>
      <c r="DF56" s="17"/>
      <c r="DG56" s="17"/>
      <c r="DH56" s="17"/>
      <c r="DI56" s="36">
        <f>(AT56+SUM(AU56:AX56)*12+SUM(AY56:CC56)-SUM(CD56:DH56))</f>
        <v>48</v>
      </c>
      <c r="DJ56" s="12">
        <f>DI56*460</f>
        <v>22080</v>
      </c>
      <c r="DK56" s="12">
        <f t="shared" si="148"/>
        <v>0</v>
      </c>
      <c r="DL56" s="12">
        <f>DK56*460</f>
        <v>0</v>
      </c>
      <c r="DM56" s="12">
        <f t="shared" si="149"/>
        <v>0</v>
      </c>
      <c r="DN56" s="12">
        <f>DM56*460</f>
        <v>0</v>
      </c>
      <c r="DO56" s="12">
        <f t="shared" si="150"/>
        <v>0</v>
      </c>
      <c r="DP56" s="12">
        <f>DO56*460</f>
        <v>0</v>
      </c>
      <c r="DQ56" s="12">
        <f t="shared" si="151"/>
        <v>0</v>
      </c>
      <c r="DR56" s="12">
        <f>DQ56*460</f>
        <v>0</v>
      </c>
      <c r="DS56" s="12">
        <f t="shared" si="152"/>
        <v>0</v>
      </c>
      <c r="DT56" s="12">
        <f>DS56*460</f>
        <v>0</v>
      </c>
    </row>
    <row r="57" spans="1:124" ht="14.25" customHeight="1">
      <c r="A57" s="12">
        <v>53</v>
      </c>
      <c r="B57" s="19" t="s">
        <v>91</v>
      </c>
      <c r="C57" s="14"/>
      <c r="D57" s="95"/>
      <c r="E57" s="56">
        <v>9</v>
      </c>
      <c r="F57" s="103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>
        <v>4</v>
      </c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2">
        <f t="shared" si="181"/>
        <v>5</v>
      </c>
      <c r="AP57" s="17">
        <f>AO57*1000</f>
        <v>5000</v>
      </c>
      <c r="AQ57" s="12">
        <f t="shared" si="146"/>
        <v>10000</v>
      </c>
      <c r="AR57" s="20"/>
      <c r="AS57" s="126">
        <f t="shared" si="216"/>
        <v>5</v>
      </c>
      <c r="AT57" s="56">
        <v>1</v>
      </c>
      <c r="AU57" s="50"/>
      <c r="AV57" s="12"/>
      <c r="AW57" s="12"/>
      <c r="AX57" s="12"/>
      <c r="AY57" s="12">
        <f t="shared" si="154"/>
        <v>0</v>
      </c>
      <c r="AZ57" s="12">
        <f t="shared" si="183"/>
        <v>0</v>
      </c>
      <c r="BA57" s="12">
        <f t="shared" si="184"/>
        <v>0</v>
      </c>
      <c r="BB57" s="12">
        <f t="shared" si="185"/>
        <v>0</v>
      </c>
      <c r="BC57" s="12">
        <f t="shared" si="186"/>
        <v>0</v>
      </c>
      <c r="BD57" s="12">
        <f t="shared" si="187"/>
        <v>0</v>
      </c>
      <c r="BE57" s="12">
        <f t="shared" si="188"/>
        <v>0</v>
      </c>
      <c r="BF57" s="12">
        <f t="shared" si="189"/>
        <v>4</v>
      </c>
      <c r="BG57" s="12">
        <f t="shared" si="190"/>
        <v>0</v>
      </c>
      <c r="BH57" s="12">
        <f t="shared" si="191"/>
        <v>0</v>
      </c>
      <c r="BI57" s="12">
        <f t="shared" si="192"/>
        <v>0</v>
      </c>
      <c r="BJ57" s="12">
        <f t="shared" si="193"/>
        <v>0</v>
      </c>
      <c r="BK57" s="12">
        <f t="shared" si="194"/>
        <v>0</v>
      </c>
      <c r="BL57" s="12">
        <f t="shared" si="195"/>
        <v>0</v>
      </c>
      <c r="BM57" s="12">
        <f t="shared" si="196"/>
        <v>0</v>
      </c>
      <c r="BN57" s="12">
        <f t="shared" si="197"/>
        <v>0</v>
      </c>
      <c r="BO57" s="12">
        <f t="shared" si="198"/>
        <v>0</v>
      </c>
      <c r="BP57" s="12">
        <f t="shared" si="199"/>
        <v>0</v>
      </c>
      <c r="BQ57" s="12">
        <f t="shared" si="200"/>
        <v>0</v>
      </c>
      <c r="BR57" s="12">
        <f t="shared" si="201"/>
        <v>0</v>
      </c>
      <c r="BS57" s="12">
        <f t="shared" si="202"/>
        <v>0</v>
      </c>
      <c r="BT57" s="12">
        <f t="shared" si="203"/>
        <v>0</v>
      </c>
      <c r="BU57" s="12">
        <f t="shared" si="204"/>
        <v>0</v>
      </c>
      <c r="BV57" s="12">
        <f t="shared" si="205"/>
        <v>0</v>
      </c>
      <c r="BW57" s="12">
        <f t="shared" si="206"/>
        <v>0</v>
      </c>
      <c r="BX57" s="12">
        <f t="shared" si="207"/>
        <v>0</v>
      </c>
      <c r="BY57" s="12">
        <f t="shared" si="208"/>
        <v>0</v>
      </c>
      <c r="BZ57" s="12">
        <f t="shared" si="209"/>
        <v>0</v>
      </c>
      <c r="CA57" s="12">
        <f t="shared" si="210"/>
        <v>0</v>
      </c>
      <c r="CB57" s="12">
        <f t="shared" si="211"/>
        <v>0</v>
      </c>
      <c r="CC57" s="12">
        <f t="shared" si="212"/>
        <v>0</v>
      </c>
      <c r="CD57" s="12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2"/>
      <c r="CQ57" s="17"/>
      <c r="CR57" s="17"/>
      <c r="CS57" s="17"/>
      <c r="CT57" s="17"/>
      <c r="CU57" s="17"/>
      <c r="CV57" s="12"/>
      <c r="CW57" s="17"/>
      <c r="CX57" s="17"/>
      <c r="CY57" s="17"/>
      <c r="CZ57" s="17"/>
      <c r="DA57" s="17"/>
      <c r="DB57" s="17"/>
      <c r="DC57" s="17"/>
      <c r="DD57" s="17"/>
      <c r="DE57" s="12"/>
      <c r="DF57" s="17"/>
      <c r="DG57" s="17"/>
      <c r="DH57" s="17"/>
      <c r="DI57" s="36">
        <f>(AT57+SUM(AU57:AX57)+SUM(AY57:CC57)-SUM(CD57:DH57))</f>
        <v>5</v>
      </c>
      <c r="DJ57" s="12">
        <f>DI57*1000</f>
        <v>5000</v>
      </c>
      <c r="DK57" s="12">
        <f t="shared" si="148"/>
        <v>0</v>
      </c>
      <c r="DL57" s="12">
        <f>DK57*1000</f>
        <v>0</v>
      </c>
      <c r="DM57" s="12">
        <f t="shared" si="149"/>
        <v>0</v>
      </c>
      <c r="DN57" s="12">
        <f>DM57*1000</f>
        <v>0</v>
      </c>
      <c r="DO57" s="12">
        <f t="shared" si="150"/>
        <v>0</v>
      </c>
      <c r="DP57" s="12">
        <f>DO57*1000</f>
        <v>0</v>
      </c>
      <c r="DQ57" s="12">
        <f t="shared" si="151"/>
        <v>0</v>
      </c>
      <c r="DR57" s="12">
        <f>DQ57*1000</f>
        <v>0</v>
      </c>
      <c r="DS57" s="12">
        <f t="shared" si="152"/>
        <v>0</v>
      </c>
      <c r="DT57" s="12">
        <f>DS57*1000</f>
        <v>0</v>
      </c>
    </row>
    <row r="58" spans="1:124" ht="14.25" customHeight="1">
      <c r="A58" s="12">
        <v>54</v>
      </c>
      <c r="B58" s="19" t="s">
        <v>92</v>
      </c>
      <c r="C58" s="14"/>
      <c r="D58" s="95"/>
      <c r="E58" s="56"/>
      <c r="F58" s="103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2"/>
      <c r="AP58" s="17"/>
      <c r="AQ58" s="12"/>
      <c r="AR58" s="17"/>
      <c r="AS58" s="126">
        <f t="shared" si="216"/>
        <v>0</v>
      </c>
      <c r="AT58" s="56">
        <v>0</v>
      </c>
      <c r="AU58" s="50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2"/>
      <c r="CQ58" s="17"/>
      <c r="CR58" s="17"/>
      <c r="CS58" s="17"/>
      <c r="CT58" s="17"/>
      <c r="CU58" s="17"/>
      <c r="CV58" s="12"/>
      <c r="CW58" s="17"/>
      <c r="CX58" s="17"/>
      <c r="CY58" s="17"/>
      <c r="CZ58" s="17"/>
      <c r="DA58" s="17"/>
      <c r="DB58" s="17"/>
      <c r="DC58" s="17"/>
      <c r="DD58" s="17"/>
      <c r="DE58" s="12"/>
      <c r="DF58" s="17"/>
      <c r="DG58" s="17"/>
      <c r="DH58" s="17"/>
      <c r="DI58" s="36">
        <f t="shared" ref="DI58:DI66" si="225">(AT58+SUM(AU58:AX58)+SUM(AY58:CC58)-SUM(CD58:DH58))</f>
        <v>0</v>
      </c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</row>
    <row r="59" spans="1:124" ht="14.25" customHeight="1">
      <c r="A59" s="12">
        <v>55</v>
      </c>
      <c r="B59" s="19" t="s">
        <v>93</v>
      </c>
      <c r="C59" s="14"/>
      <c r="D59" s="95"/>
      <c r="E59" s="56">
        <v>0</v>
      </c>
      <c r="F59" s="103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2">
        <f t="shared" ref="AO59:AO80" si="226">E59+F59+G59+H59+I59-J59-K59-L59-M59-N59-O59-P59-Q59-R59-S59-T59-U59-V59-W59-X59-Y59-Z59-AA59-AB59-AC59-AD59-AE59-AF59-AG59-AH59-AI59-AJ59-AK59-AL59-AM59-AN59</f>
        <v>0</v>
      </c>
      <c r="AP59" s="17">
        <f>AO59*1000</f>
        <v>0</v>
      </c>
      <c r="AQ59" s="12">
        <f t="shared" ref="AQ59:AQ80" si="227">AP59+DJ59</f>
        <v>1000</v>
      </c>
      <c r="AR59" s="20"/>
      <c r="AS59" s="126">
        <f t="shared" si="216"/>
        <v>1</v>
      </c>
      <c r="AT59" s="56">
        <v>1</v>
      </c>
      <c r="AU59" s="50"/>
      <c r="AV59" s="12"/>
      <c r="AW59" s="12"/>
      <c r="AX59" s="12"/>
      <c r="AY59" s="12">
        <f t="shared" ref="AY59:AY80" si="228">J59</f>
        <v>0</v>
      </c>
      <c r="AZ59" s="12">
        <f t="shared" ref="AZ59:AZ80" si="229">K59</f>
        <v>0</v>
      </c>
      <c r="BA59" s="12">
        <f t="shared" ref="BA59:BA80" si="230">L59</f>
        <v>0</v>
      </c>
      <c r="BB59" s="12">
        <f t="shared" ref="BB59:BB80" si="231">M59</f>
        <v>0</v>
      </c>
      <c r="BC59" s="12">
        <f t="shared" ref="BC59:BC80" si="232">N59</f>
        <v>0</v>
      </c>
      <c r="BD59" s="12">
        <f t="shared" ref="BD59:BD80" si="233">O59</f>
        <v>0</v>
      </c>
      <c r="BE59" s="12">
        <f t="shared" ref="BE59:BE80" si="234">P59</f>
        <v>0</v>
      </c>
      <c r="BF59" s="12">
        <f t="shared" ref="BF59:BF80" si="235">Q59</f>
        <v>0</v>
      </c>
      <c r="BG59" s="12">
        <f t="shared" ref="BG59:BG80" si="236">R59</f>
        <v>0</v>
      </c>
      <c r="BH59" s="12">
        <f t="shared" ref="BH59:BH80" si="237">S59</f>
        <v>0</v>
      </c>
      <c r="BI59" s="12">
        <f t="shared" ref="BI59:BI80" si="238">T59</f>
        <v>0</v>
      </c>
      <c r="BJ59" s="12">
        <f t="shared" ref="BJ59:BJ80" si="239">U59</f>
        <v>0</v>
      </c>
      <c r="BK59" s="12">
        <f t="shared" ref="BK59:BK80" si="240">V59</f>
        <v>0</v>
      </c>
      <c r="BL59" s="12">
        <f t="shared" ref="BL59:BL80" si="241">W59</f>
        <v>0</v>
      </c>
      <c r="BM59" s="12">
        <f t="shared" ref="BM59:BM80" si="242">X59</f>
        <v>0</v>
      </c>
      <c r="BN59" s="12">
        <f t="shared" ref="BN59:BN80" si="243">Y59</f>
        <v>0</v>
      </c>
      <c r="BO59" s="12">
        <f t="shared" ref="BO59:BO80" si="244">Z59</f>
        <v>0</v>
      </c>
      <c r="BP59" s="12">
        <f t="shared" ref="BP59:BP80" si="245">AA59</f>
        <v>0</v>
      </c>
      <c r="BQ59" s="12">
        <f t="shared" ref="BQ59:BQ80" si="246">AB59</f>
        <v>0</v>
      </c>
      <c r="BR59" s="12">
        <f t="shared" ref="BR59:BR80" si="247">AC59</f>
        <v>0</v>
      </c>
      <c r="BS59" s="12">
        <f t="shared" ref="BS59:BS80" si="248">AD59</f>
        <v>0</v>
      </c>
      <c r="BT59" s="12">
        <f t="shared" ref="BT59:BT80" si="249">AE59</f>
        <v>0</v>
      </c>
      <c r="BU59" s="12">
        <f t="shared" ref="BU59:BU80" si="250">AF59</f>
        <v>0</v>
      </c>
      <c r="BV59" s="12">
        <f t="shared" ref="BV59:BV80" si="251">AG59</f>
        <v>0</v>
      </c>
      <c r="BW59" s="12">
        <f t="shared" ref="BW59:BW80" si="252">AH59</f>
        <v>0</v>
      </c>
      <c r="BX59" s="12">
        <f t="shared" ref="BX59:BX80" si="253">AI59</f>
        <v>0</v>
      </c>
      <c r="BY59" s="12">
        <f t="shared" ref="BY59:BY80" si="254">AJ59</f>
        <v>0</v>
      </c>
      <c r="BZ59" s="12">
        <f t="shared" ref="BZ59:BZ80" si="255">AK59</f>
        <v>0</v>
      </c>
      <c r="CA59" s="12">
        <f t="shared" ref="CA59:CA80" si="256">AL59</f>
        <v>0</v>
      </c>
      <c r="CB59" s="12">
        <f t="shared" ref="CB59:CB80" si="257">AM59</f>
        <v>0</v>
      </c>
      <c r="CC59" s="12">
        <f t="shared" ref="CC59:CC80" si="258">AN59</f>
        <v>0</v>
      </c>
      <c r="CD59" s="12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2"/>
      <c r="CQ59" s="17"/>
      <c r="CR59" s="17"/>
      <c r="CS59" s="17"/>
      <c r="CT59" s="17"/>
      <c r="CU59" s="17"/>
      <c r="CV59" s="12"/>
      <c r="CW59" s="17"/>
      <c r="CX59" s="17"/>
      <c r="CY59" s="17"/>
      <c r="CZ59" s="17"/>
      <c r="DA59" s="17"/>
      <c r="DB59" s="17"/>
      <c r="DC59" s="17"/>
      <c r="DD59" s="17"/>
      <c r="DE59" s="12"/>
      <c r="DF59" s="17"/>
      <c r="DG59" s="17"/>
      <c r="DH59" s="17"/>
      <c r="DI59" s="36">
        <f t="shared" si="225"/>
        <v>1</v>
      </c>
      <c r="DJ59" s="12">
        <f>DI59*1000</f>
        <v>1000</v>
      </c>
      <c r="DK59" s="12">
        <f t="shared" ref="DK59:DK80" si="259">SUM(CD59:CJ59)</f>
        <v>0</v>
      </c>
      <c r="DL59" s="12">
        <f>DK59*1000</f>
        <v>0</v>
      </c>
      <c r="DM59" s="12">
        <f t="shared" ref="DM59:DM80" si="260">SUM(CK59:CQ59)</f>
        <v>0</v>
      </c>
      <c r="DN59" s="12">
        <f>DM59*1000</f>
        <v>0</v>
      </c>
      <c r="DO59" s="12">
        <f t="shared" ref="DO59:DO80" si="261">SUM(CR59:CX59)</f>
        <v>0</v>
      </c>
      <c r="DP59" s="12">
        <f>DO59*1000</f>
        <v>0</v>
      </c>
      <c r="DQ59" s="12">
        <f t="shared" ref="DQ59:DQ80" si="262">SUM(CY59:DH59)</f>
        <v>0</v>
      </c>
      <c r="DR59" s="12">
        <f>DQ59*1000</f>
        <v>0</v>
      </c>
      <c r="DS59" s="12">
        <f t="shared" ref="DS59:DS80" si="263">DK59+DM59+DO59+DQ59</f>
        <v>0</v>
      </c>
      <c r="DT59" s="12">
        <f>DS59*1000</f>
        <v>0</v>
      </c>
    </row>
    <row r="60" spans="1:124" ht="14.25" customHeight="1">
      <c r="A60" s="12">
        <v>56</v>
      </c>
      <c r="B60" s="19" t="s">
        <v>94</v>
      </c>
      <c r="C60" s="14"/>
      <c r="D60" s="95"/>
      <c r="E60" s="56">
        <v>0</v>
      </c>
      <c r="F60" s="103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2">
        <f t="shared" si="226"/>
        <v>0</v>
      </c>
      <c r="AP60" s="17">
        <f>AO60*700</f>
        <v>0</v>
      </c>
      <c r="AQ60" s="12">
        <f t="shared" si="227"/>
        <v>0</v>
      </c>
      <c r="AR60" s="40" t="s">
        <v>296</v>
      </c>
      <c r="AS60" s="126">
        <f t="shared" si="216"/>
        <v>0</v>
      </c>
      <c r="AT60" s="56">
        <v>0</v>
      </c>
      <c r="AU60" s="50"/>
      <c r="AV60" s="12"/>
      <c r="AW60" s="12"/>
      <c r="AX60" s="12"/>
      <c r="AY60" s="12">
        <f t="shared" si="228"/>
        <v>0</v>
      </c>
      <c r="AZ60" s="12">
        <f t="shared" si="229"/>
        <v>0</v>
      </c>
      <c r="BA60" s="12">
        <f t="shared" si="230"/>
        <v>0</v>
      </c>
      <c r="BB60" s="12">
        <f t="shared" si="231"/>
        <v>0</v>
      </c>
      <c r="BC60" s="12">
        <f t="shared" si="232"/>
        <v>0</v>
      </c>
      <c r="BD60" s="12">
        <f t="shared" si="233"/>
        <v>0</v>
      </c>
      <c r="BE60" s="12">
        <f t="shared" si="234"/>
        <v>0</v>
      </c>
      <c r="BF60" s="12">
        <f t="shared" si="235"/>
        <v>0</v>
      </c>
      <c r="BG60" s="12">
        <f t="shared" si="236"/>
        <v>0</v>
      </c>
      <c r="BH60" s="12">
        <f t="shared" si="237"/>
        <v>0</v>
      </c>
      <c r="BI60" s="12">
        <f t="shared" si="238"/>
        <v>0</v>
      </c>
      <c r="BJ60" s="12">
        <f t="shared" si="239"/>
        <v>0</v>
      </c>
      <c r="BK60" s="12">
        <f t="shared" si="240"/>
        <v>0</v>
      </c>
      <c r="BL60" s="12">
        <f t="shared" si="241"/>
        <v>0</v>
      </c>
      <c r="BM60" s="12">
        <f t="shared" si="242"/>
        <v>0</v>
      </c>
      <c r="BN60" s="12">
        <f t="shared" si="243"/>
        <v>0</v>
      </c>
      <c r="BO60" s="12">
        <f t="shared" si="244"/>
        <v>0</v>
      </c>
      <c r="BP60" s="12">
        <f t="shared" si="245"/>
        <v>0</v>
      </c>
      <c r="BQ60" s="12">
        <f t="shared" si="246"/>
        <v>0</v>
      </c>
      <c r="BR60" s="12">
        <f t="shared" si="247"/>
        <v>0</v>
      </c>
      <c r="BS60" s="12">
        <f t="shared" si="248"/>
        <v>0</v>
      </c>
      <c r="BT60" s="12">
        <f t="shared" si="249"/>
        <v>0</v>
      </c>
      <c r="BU60" s="12">
        <f t="shared" si="250"/>
        <v>0</v>
      </c>
      <c r="BV60" s="12">
        <f t="shared" si="251"/>
        <v>0</v>
      </c>
      <c r="BW60" s="12">
        <f t="shared" si="252"/>
        <v>0</v>
      </c>
      <c r="BX60" s="12">
        <f t="shared" si="253"/>
        <v>0</v>
      </c>
      <c r="BY60" s="12">
        <f t="shared" si="254"/>
        <v>0</v>
      </c>
      <c r="BZ60" s="12">
        <f t="shared" si="255"/>
        <v>0</v>
      </c>
      <c r="CA60" s="12">
        <f t="shared" si="256"/>
        <v>0</v>
      </c>
      <c r="CB60" s="12">
        <f t="shared" si="257"/>
        <v>0</v>
      </c>
      <c r="CC60" s="12">
        <f t="shared" si="258"/>
        <v>0</v>
      </c>
      <c r="CD60" s="12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2"/>
      <c r="CQ60" s="17"/>
      <c r="CR60" s="17"/>
      <c r="CS60" s="17"/>
      <c r="CT60" s="17"/>
      <c r="CU60" s="17"/>
      <c r="CV60" s="12"/>
      <c r="CW60" s="17"/>
      <c r="CX60" s="17"/>
      <c r="CY60" s="17"/>
      <c r="CZ60" s="17"/>
      <c r="DA60" s="17"/>
      <c r="DB60" s="17"/>
      <c r="DC60" s="17"/>
      <c r="DD60" s="17"/>
      <c r="DE60" s="12"/>
      <c r="DF60" s="17"/>
      <c r="DG60" s="17"/>
      <c r="DH60" s="17"/>
      <c r="DI60" s="36">
        <f t="shared" si="225"/>
        <v>0</v>
      </c>
      <c r="DJ60" s="12">
        <f>DI60*700</f>
        <v>0</v>
      </c>
      <c r="DK60" s="12">
        <f t="shared" si="259"/>
        <v>0</v>
      </c>
      <c r="DL60" s="12">
        <f>DK60*700</f>
        <v>0</v>
      </c>
      <c r="DM60" s="12">
        <f t="shared" si="260"/>
        <v>0</v>
      </c>
      <c r="DN60" s="12">
        <f>DM60*750</f>
        <v>0</v>
      </c>
      <c r="DO60" s="12">
        <f t="shared" si="261"/>
        <v>0</v>
      </c>
      <c r="DP60" s="12">
        <f>DO60*750</f>
        <v>0</v>
      </c>
      <c r="DQ60" s="12">
        <f t="shared" si="262"/>
        <v>0</v>
      </c>
      <c r="DR60" s="12">
        <f>DQ60*750</f>
        <v>0</v>
      </c>
      <c r="DS60" s="12">
        <f t="shared" si="263"/>
        <v>0</v>
      </c>
      <c r="DT60" s="12">
        <f>DS60*700</f>
        <v>0</v>
      </c>
    </row>
    <row r="61" spans="1:124" ht="14.25" customHeight="1">
      <c r="A61" s="12">
        <v>57</v>
      </c>
      <c r="B61" s="33" t="s">
        <v>287</v>
      </c>
      <c r="C61" s="14"/>
      <c r="D61" s="97" t="s">
        <v>55</v>
      </c>
      <c r="E61" s="56">
        <v>0</v>
      </c>
      <c r="F61" s="103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2">
        <f t="shared" si="226"/>
        <v>0</v>
      </c>
      <c r="AP61" s="17">
        <f>AO61*1000</f>
        <v>0</v>
      </c>
      <c r="AQ61" s="12">
        <f t="shared" si="227"/>
        <v>2000</v>
      </c>
      <c r="AR61" s="40" t="s">
        <v>297</v>
      </c>
      <c r="AS61" s="126">
        <f t="shared" ref="AS61:AS71" si="264">DI61</f>
        <v>2</v>
      </c>
      <c r="AT61" s="56">
        <v>2</v>
      </c>
      <c r="AU61" s="50"/>
      <c r="AV61" s="12"/>
      <c r="AW61" s="12"/>
      <c r="AX61" s="12"/>
      <c r="AY61" s="12">
        <f t="shared" si="228"/>
        <v>0</v>
      </c>
      <c r="AZ61" s="12">
        <f t="shared" si="229"/>
        <v>0</v>
      </c>
      <c r="BA61" s="12">
        <f t="shared" si="230"/>
        <v>0</v>
      </c>
      <c r="BB61" s="12">
        <f t="shared" si="231"/>
        <v>0</v>
      </c>
      <c r="BC61" s="12">
        <f t="shared" si="232"/>
        <v>0</v>
      </c>
      <c r="BD61" s="12">
        <f t="shared" si="233"/>
        <v>0</v>
      </c>
      <c r="BE61" s="12">
        <f t="shared" si="234"/>
        <v>0</v>
      </c>
      <c r="BF61" s="12">
        <f t="shared" si="235"/>
        <v>0</v>
      </c>
      <c r="BG61" s="12">
        <f t="shared" si="236"/>
        <v>0</v>
      </c>
      <c r="BH61" s="12">
        <f t="shared" si="237"/>
        <v>0</v>
      </c>
      <c r="BI61" s="12">
        <f t="shared" si="238"/>
        <v>0</v>
      </c>
      <c r="BJ61" s="12">
        <f t="shared" si="239"/>
        <v>0</v>
      </c>
      <c r="BK61" s="12">
        <f t="shared" si="240"/>
        <v>0</v>
      </c>
      <c r="BL61" s="12">
        <f t="shared" si="241"/>
        <v>0</v>
      </c>
      <c r="BM61" s="12">
        <f t="shared" si="242"/>
        <v>0</v>
      </c>
      <c r="BN61" s="12">
        <f t="shared" si="243"/>
        <v>0</v>
      </c>
      <c r="BO61" s="12">
        <f t="shared" si="244"/>
        <v>0</v>
      </c>
      <c r="BP61" s="12">
        <f t="shared" si="245"/>
        <v>0</v>
      </c>
      <c r="BQ61" s="12">
        <f t="shared" si="246"/>
        <v>0</v>
      </c>
      <c r="BR61" s="12">
        <f t="shared" si="247"/>
        <v>0</v>
      </c>
      <c r="BS61" s="12">
        <f t="shared" si="248"/>
        <v>0</v>
      </c>
      <c r="BT61" s="12">
        <f t="shared" si="249"/>
        <v>0</v>
      </c>
      <c r="BU61" s="12">
        <f t="shared" si="250"/>
        <v>0</v>
      </c>
      <c r="BV61" s="12">
        <f t="shared" si="251"/>
        <v>0</v>
      </c>
      <c r="BW61" s="12">
        <f t="shared" si="252"/>
        <v>0</v>
      </c>
      <c r="BX61" s="12">
        <f t="shared" si="253"/>
        <v>0</v>
      </c>
      <c r="BY61" s="12">
        <f t="shared" si="254"/>
        <v>0</v>
      </c>
      <c r="BZ61" s="12">
        <f t="shared" si="255"/>
        <v>0</v>
      </c>
      <c r="CA61" s="12">
        <f t="shared" si="256"/>
        <v>0</v>
      </c>
      <c r="CB61" s="12">
        <f t="shared" si="257"/>
        <v>0</v>
      </c>
      <c r="CC61" s="12">
        <f t="shared" si="258"/>
        <v>0</v>
      </c>
      <c r="CD61" s="12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2"/>
      <c r="CQ61" s="17"/>
      <c r="CR61" s="17"/>
      <c r="CS61" s="17"/>
      <c r="CT61" s="17"/>
      <c r="CU61" s="17"/>
      <c r="CV61" s="12"/>
      <c r="CW61" s="17"/>
      <c r="CX61" s="17"/>
      <c r="CY61" s="17"/>
      <c r="CZ61" s="17"/>
      <c r="DA61" s="17"/>
      <c r="DB61" s="17"/>
      <c r="DC61" s="17"/>
      <c r="DD61" s="17"/>
      <c r="DE61" s="12"/>
      <c r="DF61" s="17"/>
      <c r="DG61" s="17"/>
      <c r="DH61" s="17"/>
      <c r="DI61" s="36">
        <f t="shared" si="225"/>
        <v>2</v>
      </c>
      <c r="DJ61" s="12">
        <f>DI61*1000</f>
        <v>2000</v>
      </c>
      <c r="DK61" s="12">
        <f t="shared" si="259"/>
        <v>0</v>
      </c>
      <c r="DL61" s="12">
        <f>DK61*1000</f>
        <v>0</v>
      </c>
      <c r="DM61" s="12">
        <f t="shared" si="260"/>
        <v>0</v>
      </c>
      <c r="DN61" s="12">
        <f>DM61*1000</f>
        <v>0</v>
      </c>
      <c r="DO61" s="12">
        <f t="shared" si="261"/>
        <v>0</v>
      </c>
      <c r="DP61" s="12">
        <f>DO61*1000</f>
        <v>0</v>
      </c>
      <c r="DQ61" s="12">
        <f t="shared" si="262"/>
        <v>0</v>
      </c>
      <c r="DR61" s="12">
        <f>DQ61*1000</f>
        <v>0</v>
      </c>
      <c r="DS61" s="12">
        <f t="shared" si="263"/>
        <v>0</v>
      </c>
      <c r="DT61" s="12">
        <f>DS61*1000</f>
        <v>0</v>
      </c>
    </row>
    <row r="62" spans="1:124" ht="14.25" customHeight="1">
      <c r="A62" s="12">
        <v>58</v>
      </c>
      <c r="B62" s="19" t="s">
        <v>95</v>
      </c>
      <c r="C62" s="14"/>
      <c r="D62" s="97" t="s">
        <v>55</v>
      </c>
      <c r="E62" s="56">
        <v>0</v>
      </c>
      <c r="F62" s="103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2">
        <f t="shared" si="226"/>
        <v>0</v>
      </c>
      <c r="AP62" s="17">
        <f>AO62*700</f>
        <v>0</v>
      </c>
      <c r="AQ62" s="12">
        <f t="shared" si="227"/>
        <v>2100</v>
      </c>
      <c r="AR62" s="20" t="s">
        <v>96</v>
      </c>
      <c r="AS62" s="126">
        <f t="shared" si="264"/>
        <v>3</v>
      </c>
      <c r="AT62" s="56">
        <v>3</v>
      </c>
      <c r="AU62" s="50"/>
      <c r="AV62" s="12"/>
      <c r="AW62" s="12"/>
      <c r="AX62" s="12"/>
      <c r="AY62" s="12">
        <f t="shared" si="228"/>
        <v>0</v>
      </c>
      <c r="AZ62" s="12">
        <f t="shared" si="229"/>
        <v>0</v>
      </c>
      <c r="BA62" s="12">
        <f t="shared" si="230"/>
        <v>0</v>
      </c>
      <c r="BB62" s="12">
        <f t="shared" si="231"/>
        <v>0</v>
      </c>
      <c r="BC62" s="12">
        <f t="shared" si="232"/>
        <v>0</v>
      </c>
      <c r="BD62" s="12">
        <f t="shared" si="233"/>
        <v>0</v>
      </c>
      <c r="BE62" s="12">
        <f t="shared" si="234"/>
        <v>0</v>
      </c>
      <c r="BF62" s="12">
        <f t="shared" si="235"/>
        <v>0</v>
      </c>
      <c r="BG62" s="12">
        <f t="shared" si="236"/>
        <v>0</v>
      </c>
      <c r="BH62" s="12">
        <f t="shared" si="237"/>
        <v>0</v>
      </c>
      <c r="BI62" s="12">
        <f t="shared" si="238"/>
        <v>0</v>
      </c>
      <c r="BJ62" s="12">
        <f t="shared" si="239"/>
        <v>0</v>
      </c>
      <c r="BK62" s="12">
        <f t="shared" si="240"/>
        <v>0</v>
      </c>
      <c r="BL62" s="12">
        <f t="shared" si="241"/>
        <v>0</v>
      </c>
      <c r="BM62" s="12">
        <f t="shared" si="242"/>
        <v>0</v>
      </c>
      <c r="BN62" s="12">
        <f t="shared" si="243"/>
        <v>0</v>
      </c>
      <c r="BO62" s="12">
        <f t="shared" si="244"/>
        <v>0</v>
      </c>
      <c r="BP62" s="12">
        <f t="shared" si="245"/>
        <v>0</v>
      </c>
      <c r="BQ62" s="12">
        <f t="shared" si="246"/>
        <v>0</v>
      </c>
      <c r="BR62" s="12">
        <f t="shared" si="247"/>
        <v>0</v>
      </c>
      <c r="BS62" s="12">
        <f t="shared" si="248"/>
        <v>0</v>
      </c>
      <c r="BT62" s="12">
        <f t="shared" si="249"/>
        <v>0</v>
      </c>
      <c r="BU62" s="12">
        <f t="shared" si="250"/>
        <v>0</v>
      </c>
      <c r="BV62" s="12">
        <f t="shared" si="251"/>
        <v>0</v>
      </c>
      <c r="BW62" s="12">
        <f t="shared" si="252"/>
        <v>0</v>
      </c>
      <c r="BX62" s="12">
        <f t="shared" si="253"/>
        <v>0</v>
      </c>
      <c r="BY62" s="12">
        <f t="shared" si="254"/>
        <v>0</v>
      </c>
      <c r="BZ62" s="12">
        <f t="shared" si="255"/>
        <v>0</v>
      </c>
      <c r="CA62" s="12">
        <f t="shared" si="256"/>
        <v>0</v>
      </c>
      <c r="CB62" s="12">
        <f t="shared" si="257"/>
        <v>0</v>
      </c>
      <c r="CC62" s="12">
        <f t="shared" si="258"/>
        <v>0</v>
      </c>
      <c r="CD62" s="12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2"/>
      <c r="CQ62" s="17"/>
      <c r="CR62" s="17"/>
      <c r="CS62" s="17"/>
      <c r="CT62" s="17"/>
      <c r="CU62" s="17"/>
      <c r="CV62" s="12"/>
      <c r="CW62" s="17"/>
      <c r="CX62" s="17"/>
      <c r="CY62" s="17"/>
      <c r="CZ62" s="17"/>
      <c r="DA62" s="17"/>
      <c r="DB62" s="17"/>
      <c r="DC62" s="17"/>
      <c r="DD62" s="17"/>
      <c r="DE62" s="12"/>
      <c r="DF62" s="17"/>
      <c r="DG62" s="17"/>
      <c r="DH62" s="17"/>
      <c r="DI62" s="36">
        <f t="shared" si="225"/>
        <v>3</v>
      </c>
      <c r="DJ62" s="12">
        <f>DI62*700</f>
        <v>2100</v>
      </c>
      <c r="DK62" s="12">
        <f t="shared" si="259"/>
        <v>0</v>
      </c>
      <c r="DL62" s="12">
        <f>DK62*700</f>
        <v>0</v>
      </c>
      <c r="DM62" s="12">
        <f t="shared" si="260"/>
        <v>0</v>
      </c>
      <c r="DN62" s="12">
        <f>DM62*700</f>
        <v>0</v>
      </c>
      <c r="DO62" s="12">
        <f t="shared" si="261"/>
        <v>0</v>
      </c>
      <c r="DP62" s="12">
        <f>DO62*700</f>
        <v>0</v>
      </c>
      <c r="DQ62" s="12">
        <f t="shared" si="262"/>
        <v>0</v>
      </c>
      <c r="DR62" s="12">
        <f>DQ62*700</f>
        <v>0</v>
      </c>
      <c r="DS62" s="12">
        <f t="shared" si="263"/>
        <v>0</v>
      </c>
      <c r="DT62" s="12">
        <f>DS62*700</f>
        <v>0</v>
      </c>
    </row>
    <row r="63" spans="1:124" ht="14.25" customHeight="1">
      <c r="A63" s="12">
        <v>59</v>
      </c>
      <c r="B63" s="19" t="s">
        <v>97</v>
      </c>
      <c r="C63" s="14"/>
      <c r="D63" s="97" t="s">
        <v>55</v>
      </c>
      <c r="E63" s="56">
        <v>0</v>
      </c>
      <c r="F63" s="103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2">
        <f t="shared" si="226"/>
        <v>0</v>
      </c>
      <c r="AP63" s="17">
        <f>AO63*760</f>
        <v>0</v>
      </c>
      <c r="AQ63" s="12">
        <f t="shared" si="227"/>
        <v>0</v>
      </c>
      <c r="AR63" s="17" t="s">
        <v>98</v>
      </c>
      <c r="AS63" s="126">
        <f t="shared" si="264"/>
        <v>0</v>
      </c>
      <c r="AT63" s="56">
        <v>0</v>
      </c>
      <c r="AU63" s="50"/>
      <c r="AV63" s="12"/>
      <c r="AW63" s="12"/>
      <c r="AX63" s="12"/>
      <c r="AY63" s="12">
        <f t="shared" si="228"/>
        <v>0</v>
      </c>
      <c r="AZ63" s="12">
        <f t="shared" si="229"/>
        <v>0</v>
      </c>
      <c r="BA63" s="12">
        <f t="shared" si="230"/>
        <v>0</v>
      </c>
      <c r="BB63" s="12">
        <f t="shared" si="231"/>
        <v>0</v>
      </c>
      <c r="BC63" s="12">
        <f t="shared" si="232"/>
        <v>0</v>
      </c>
      <c r="BD63" s="12">
        <f t="shared" si="233"/>
        <v>0</v>
      </c>
      <c r="BE63" s="12">
        <f t="shared" si="234"/>
        <v>0</v>
      </c>
      <c r="BF63" s="12">
        <f t="shared" si="235"/>
        <v>0</v>
      </c>
      <c r="BG63" s="12">
        <f t="shared" si="236"/>
        <v>0</v>
      </c>
      <c r="BH63" s="12">
        <f t="shared" si="237"/>
        <v>0</v>
      </c>
      <c r="BI63" s="12">
        <f t="shared" si="238"/>
        <v>0</v>
      </c>
      <c r="BJ63" s="12">
        <f t="shared" si="239"/>
        <v>0</v>
      </c>
      <c r="BK63" s="12">
        <f t="shared" si="240"/>
        <v>0</v>
      </c>
      <c r="BL63" s="12">
        <f t="shared" si="241"/>
        <v>0</v>
      </c>
      <c r="BM63" s="12">
        <f t="shared" si="242"/>
        <v>0</v>
      </c>
      <c r="BN63" s="12">
        <f t="shared" si="243"/>
        <v>0</v>
      </c>
      <c r="BO63" s="12">
        <f t="shared" si="244"/>
        <v>0</v>
      </c>
      <c r="BP63" s="12">
        <f t="shared" si="245"/>
        <v>0</v>
      </c>
      <c r="BQ63" s="12">
        <f t="shared" si="246"/>
        <v>0</v>
      </c>
      <c r="BR63" s="12">
        <f t="shared" si="247"/>
        <v>0</v>
      </c>
      <c r="BS63" s="12">
        <f t="shared" si="248"/>
        <v>0</v>
      </c>
      <c r="BT63" s="12">
        <f t="shared" si="249"/>
        <v>0</v>
      </c>
      <c r="BU63" s="12">
        <f t="shared" si="250"/>
        <v>0</v>
      </c>
      <c r="BV63" s="12">
        <f t="shared" si="251"/>
        <v>0</v>
      </c>
      <c r="BW63" s="12">
        <f t="shared" si="252"/>
        <v>0</v>
      </c>
      <c r="BX63" s="12">
        <f t="shared" si="253"/>
        <v>0</v>
      </c>
      <c r="BY63" s="12">
        <f t="shared" si="254"/>
        <v>0</v>
      </c>
      <c r="BZ63" s="12">
        <f t="shared" si="255"/>
        <v>0</v>
      </c>
      <c r="CA63" s="12">
        <f t="shared" si="256"/>
        <v>0</v>
      </c>
      <c r="CB63" s="12">
        <f t="shared" si="257"/>
        <v>0</v>
      </c>
      <c r="CC63" s="12">
        <f t="shared" si="258"/>
        <v>0</v>
      </c>
      <c r="CD63" s="12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2"/>
      <c r="CQ63" s="17"/>
      <c r="CR63" s="17"/>
      <c r="CS63" s="17"/>
      <c r="CT63" s="17"/>
      <c r="CU63" s="17"/>
      <c r="CV63" s="12"/>
      <c r="CW63" s="17"/>
      <c r="CX63" s="17"/>
      <c r="CY63" s="17"/>
      <c r="CZ63" s="17"/>
      <c r="DA63" s="17"/>
      <c r="DB63" s="17"/>
      <c r="DC63" s="17"/>
      <c r="DD63" s="17"/>
      <c r="DE63" s="12"/>
      <c r="DF63" s="17"/>
      <c r="DG63" s="17"/>
      <c r="DH63" s="17"/>
      <c r="DI63" s="36">
        <f t="shared" si="225"/>
        <v>0</v>
      </c>
      <c r="DJ63" s="12">
        <f>DI63*760</f>
        <v>0</v>
      </c>
      <c r="DK63" s="12">
        <f t="shared" si="259"/>
        <v>0</v>
      </c>
      <c r="DL63" s="12">
        <f>DK63*760</f>
        <v>0</v>
      </c>
      <c r="DM63" s="12">
        <f t="shared" si="260"/>
        <v>0</v>
      </c>
      <c r="DN63" s="12">
        <f>DM63*760</f>
        <v>0</v>
      </c>
      <c r="DO63" s="12">
        <f t="shared" si="261"/>
        <v>0</v>
      </c>
      <c r="DP63" s="12">
        <f>DO63*760</f>
        <v>0</v>
      </c>
      <c r="DQ63" s="12">
        <f t="shared" si="262"/>
        <v>0</v>
      </c>
      <c r="DR63" s="12">
        <f>DQ63*760</f>
        <v>0</v>
      </c>
      <c r="DS63" s="12">
        <f t="shared" si="263"/>
        <v>0</v>
      </c>
      <c r="DT63" s="12">
        <f>DS63*760</f>
        <v>0</v>
      </c>
    </row>
    <row r="64" spans="1:124" ht="14.25" customHeight="1">
      <c r="A64" s="12">
        <v>60</v>
      </c>
      <c r="B64" s="33" t="s">
        <v>288</v>
      </c>
      <c r="C64" s="14"/>
      <c r="D64" s="97" t="s">
        <v>55</v>
      </c>
      <c r="E64" s="56">
        <v>0</v>
      </c>
      <c r="F64" s="103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2">
        <f t="shared" si="226"/>
        <v>0</v>
      </c>
      <c r="AP64" s="17">
        <f t="shared" ref="AP64:AP65" si="265">AO64*1000</f>
        <v>0</v>
      </c>
      <c r="AQ64" s="12">
        <f t="shared" si="227"/>
        <v>1000</v>
      </c>
      <c r="AR64" s="40" t="s">
        <v>298</v>
      </c>
      <c r="AS64" s="126">
        <f t="shared" si="264"/>
        <v>1</v>
      </c>
      <c r="AT64" s="56">
        <v>1</v>
      </c>
      <c r="AU64" s="50"/>
      <c r="AV64" s="12"/>
      <c r="AW64" s="12"/>
      <c r="AX64" s="12"/>
      <c r="AY64" s="12">
        <f t="shared" si="228"/>
        <v>0</v>
      </c>
      <c r="AZ64" s="12">
        <f t="shared" si="229"/>
        <v>0</v>
      </c>
      <c r="BA64" s="12">
        <f t="shared" si="230"/>
        <v>0</v>
      </c>
      <c r="BB64" s="12">
        <f t="shared" si="231"/>
        <v>0</v>
      </c>
      <c r="BC64" s="12">
        <f t="shared" si="232"/>
        <v>0</v>
      </c>
      <c r="BD64" s="12">
        <f t="shared" si="233"/>
        <v>0</v>
      </c>
      <c r="BE64" s="12">
        <f t="shared" si="234"/>
        <v>0</v>
      </c>
      <c r="BF64" s="12">
        <f t="shared" si="235"/>
        <v>0</v>
      </c>
      <c r="BG64" s="12">
        <f t="shared" si="236"/>
        <v>0</v>
      </c>
      <c r="BH64" s="12">
        <f t="shared" si="237"/>
        <v>0</v>
      </c>
      <c r="BI64" s="12">
        <f t="shared" si="238"/>
        <v>0</v>
      </c>
      <c r="BJ64" s="12">
        <f t="shared" si="239"/>
        <v>0</v>
      </c>
      <c r="BK64" s="12">
        <f t="shared" si="240"/>
        <v>0</v>
      </c>
      <c r="BL64" s="12">
        <f t="shared" si="241"/>
        <v>0</v>
      </c>
      <c r="BM64" s="12">
        <f t="shared" si="242"/>
        <v>0</v>
      </c>
      <c r="BN64" s="12">
        <f t="shared" si="243"/>
        <v>0</v>
      </c>
      <c r="BO64" s="12">
        <f t="shared" si="244"/>
        <v>0</v>
      </c>
      <c r="BP64" s="12">
        <f t="shared" si="245"/>
        <v>0</v>
      </c>
      <c r="BQ64" s="12">
        <f t="shared" si="246"/>
        <v>0</v>
      </c>
      <c r="BR64" s="12">
        <f t="shared" si="247"/>
        <v>0</v>
      </c>
      <c r="BS64" s="12">
        <f t="shared" si="248"/>
        <v>0</v>
      </c>
      <c r="BT64" s="12">
        <f t="shared" si="249"/>
        <v>0</v>
      </c>
      <c r="BU64" s="12">
        <f t="shared" si="250"/>
        <v>0</v>
      </c>
      <c r="BV64" s="12">
        <f t="shared" si="251"/>
        <v>0</v>
      </c>
      <c r="BW64" s="12">
        <f t="shared" si="252"/>
        <v>0</v>
      </c>
      <c r="BX64" s="12">
        <f t="shared" si="253"/>
        <v>0</v>
      </c>
      <c r="BY64" s="12">
        <f t="shared" si="254"/>
        <v>0</v>
      </c>
      <c r="BZ64" s="12">
        <f t="shared" si="255"/>
        <v>0</v>
      </c>
      <c r="CA64" s="12">
        <f t="shared" si="256"/>
        <v>0</v>
      </c>
      <c r="CB64" s="12">
        <f t="shared" si="257"/>
        <v>0</v>
      </c>
      <c r="CC64" s="12">
        <f t="shared" si="258"/>
        <v>0</v>
      </c>
      <c r="CD64" s="12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2"/>
      <c r="CQ64" s="17"/>
      <c r="CR64" s="17"/>
      <c r="CS64" s="17"/>
      <c r="CT64" s="17"/>
      <c r="CU64" s="17"/>
      <c r="CV64" s="12"/>
      <c r="CW64" s="17"/>
      <c r="CX64" s="17"/>
      <c r="CY64" s="17"/>
      <c r="CZ64" s="17"/>
      <c r="DA64" s="17"/>
      <c r="DB64" s="17"/>
      <c r="DC64" s="17"/>
      <c r="DD64" s="17"/>
      <c r="DE64" s="12"/>
      <c r="DF64" s="17"/>
      <c r="DG64" s="17"/>
      <c r="DH64" s="17"/>
      <c r="DI64" s="36">
        <f t="shared" si="225"/>
        <v>1</v>
      </c>
      <c r="DJ64" s="12">
        <f t="shared" ref="DJ64:DJ65" si="266">DI64*1000</f>
        <v>1000</v>
      </c>
      <c r="DK64" s="12">
        <f t="shared" si="259"/>
        <v>0</v>
      </c>
      <c r="DL64" s="12">
        <f t="shared" ref="DL64:DL65" si="267">DK64*1000</f>
        <v>0</v>
      </c>
      <c r="DM64" s="12">
        <f t="shared" si="260"/>
        <v>0</v>
      </c>
      <c r="DN64" s="12">
        <f t="shared" ref="DN64:DN65" si="268">DM64*1000</f>
        <v>0</v>
      </c>
      <c r="DO64" s="12">
        <f t="shared" si="261"/>
        <v>0</v>
      </c>
      <c r="DP64" s="12">
        <f t="shared" ref="DP64:DP65" si="269">DO64*1000</f>
        <v>0</v>
      </c>
      <c r="DQ64" s="12">
        <f t="shared" si="262"/>
        <v>0</v>
      </c>
      <c r="DR64" s="12">
        <f t="shared" ref="DR64:DR65" si="270">DQ64*1000</f>
        <v>0</v>
      </c>
      <c r="DS64" s="12">
        <f t="shared" si="263"/>
        <v>0</v>
      </c>
      <c r="DT64" s="12">
        <f t="shared" ref="DT64:DT65" si="271">DS64*1000</f>
        <v>0</v>
      </c>
    </row>
    <row r="65" spans="1:124" ht="14.25" customHeight="1">
      <c r="A65" s="12">
        <v>61</v>
      </c>
      <c r="B65" s="33" t="s">
        <v>289</v>
      </c>
      <c r="C65" s="14"/>
      <c r="D65" s="97" t="s">
        <v>55</v>
      </c>
      <c r="E65" s="56">
        <v>0</v>
      </c>
      <c r="F65" s="103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2">
        <f t="shared" si="226"/>
        <v>0</v>
      </c>
      <c r="AP65" s="17">
        <f t="shared" si="265"/>
        <v>0</v>
      </c>
      <c r="AQ65" s="12">
        <f t="shared" si="227"/>
        <v>0</v>
      </c>
      <c r="AR65" s="40" t="s">
        <v>71</v>
      </c>
      <c r="AS65" s="126">
        <f t="shared" si="264"/>
        <v>0</v>
      </c>
      <c r="AT65" s="56">
        <v>0</v>
      </c>
      <c r="AU65" s="50"/>
      <c r="AV65" s="12"/>
      <c r="AW65" s="12"/>
      <c r="AX65" s="12"/>
      <c r="AY65" s="12">
        <f t="shared" si="228"/>
        <v>0</v>
      </c>
      <c r="AZ65" s="12">
        <f t="shared" si="229"/>
        <v>0</v>
      </c>
      <c r="BA65" s="12">
        <f t="shared" si="230"/>
        <v>0</v>
      </c>
      <c r="BB65" s="12">
        <f t="shared" si="231"/>
        <v>0</v>
      </c>
      <c r="BC65" s="12">
        <f t="shared" si="232"/>
        <v>0</v>
      </c>
      <c r="BD65" s="12">
        <f t="shared" si="233"/>
        <v>0</v>
      </c>
      <c r="BE65" s="12">
        <f t="shared" si="234"/>
        <v>0</v>
      </c>
      <c r="BF65" s="12">
        <f t="shared" si="235"/>
        <v>0</v>
      </c>
      <c r="BG65" s="12">
        <f t="shared" si="236"/>
        <v>0</v>
      </c>
      <c r="BH65" s="12">
        <f t="shared" si="237"/>
        <v>0</v>
      </c>
      <c r="BI65" s="12">
        <f t="shared" si="238"/>
        <v>0</v>
      </c>
      <c r="BJ65" s="12">
        <f t="shared" si="239"/>
        <v>0</v>
      </c>
      <c r="BK65" s="12">
        <f t="shared" si="240"/>
        <v>0</v>
      </c>
      <c r="BL65" s="12">
        <f t="shared" si="241"/>
        <v>0</v>
      </c>
      <c r="BM65" s="12">
        <f t="shared" si="242"/>
        <v>0</v>
      </c>
      <c r="BN65" s="12">
        <f t="shared" si="243"/>
        <v>0</v>
      </c>
      <c r="BO65" s="12">
        <f t="shared" si="244"/>
        <v>0</v>
      </c>
      <c r="BP65" s="12">
        <f t="shared" si="245"/>
        <v>0</v>
      </c>
      <c r="BQ65" s="12">
        <f t="shared" si="246"/>
        <v>0</v>
      </c>
      <c r="BR65" s="12">
        <f t="shared" si="247"/>
        <v>0</v>
      </c>
      <c r="BS65" s="12">
        <f t="shared" si="248"/>
        <v>0</v>
      </c>
      <c r="BT65" s="12">
        <f t="shared" si="249"/>
        <v>0</v>
      </c>
      <c r="BU65" s="12">
        <f t="shared" si="250"/>
        <v>0</v>
      </c>
      <c r="BV65" s="12">
        <f t="shared" si="251"/>
        <v>0</v>
      </c>
      <c r="BW65" s="12">
        <f t="shared" si="252"/>
        <v>0</v>
      </c>
      <c r="BX65" s="12">
        <f t="shared" si="253"/>
        <v>0</v>
      </c>
      <c r="BY65" s="12">
        <f t="shared" si="254"/>
        <v>0</v>
      </c>
      <c r="BZ65" s="12">
        <f t="shared" si="255"/>
        <v>0</v>
      </c>
      <c r="CA65" s="12">
        <f t="shared" si="256"/>
        <v>0</v>
      </c>
      <c r="CB65" s="12">
        <f t="shared" si="257"/>
        <v>0</v>
      </c>
      <c r="CC65" s="12">
        <f t="shared" si="258"/>
        <v>0</v>
      </c>
      <c r="CD65" s="12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2"/>
      <c r="CQ65" s="17"/>
      <c r="CR65" s="17"/>
      <c r="CS65" s="17"/>
      <c r="CT65" s="17"/>
      <c r="CU65" s="17"/>
      <c r="CV65" s="12"/>
      <c r="CW65" s="17"/>
      <c r="CX65" s="17"/>
      <c r="CY65" s="17"/>
      <c r="CZ65" s="17"/>
      <c r="DA65" s="17"/>
      <c r="DB65" s="17"/>
      <c r="DC65" s="17"/>
      <c r="DD65" s="17"/>
      <c r="DE65" s="12"/>
      <c r="DF65" s="17"/>
      <c r="DG65" s="17"/>
      <c r="DH65" s="17"/>
      <c r="DI65" s="36">
        <f t="shared" si="225"/>
        <v>0</v>
      </c>
      <c r="DJ65" s="12">
        <f t="shared" si="266"/>
        <v>0</v>
      </c>
      <c r="DK65" s="12">
        <f t="shared" si="259"/>
        <v>0</v>
      </c>
      <c r="DL65" s="12">
        <f t="shared" si="267"/>
        <v>0</v>
      </c>
      <c r="DM65" s="12">
        <f t="shared" si="260"/>
        <v>0</v>
      </c>
      <c r="DN65" s="12">
        <f t="shared" si="268"/>
        <v>0</v>
      </c>
      <c r="DO65" s="12">
        <f t="shared" si="261"/>
        <v>0</v>
      </c>
      <c r="DP65" s="12">
        <f t="shared" si="269"/>
        <v>0</v>
      </c>
      <c r="DQ65" s="12">
        <f t="shared" si="262"/>
        <v>0</v>
      </c>
      <c r="DR65" s="12">
        <f t="shared" si="270"/>
        <v>0</v>
      </c>
      <c r="DS65" s="12">
        <f t="shared" si="263"/>
        <v>0</v>
      </c>
      <c r="DT65" s="12">
        <f t="shared" si="271"/>
        <v>0</v>
      </c>
    </row>
    <row r="66" spans="1:124" ht="14.25" customHeight="1">
      <c r="A66" s="30">
        <v>62</v>
      </c>
      <c r="B66" s="19" t="s">
        <v>99</v>
      </c>
      <c r="C66" s="15" t="s">
        <v>32</v>
      </c>
      <c r="D66" s="97" t="s">
        <v>55</v>
      </c>
      <c r="E66" s="56">
        <v>0</v>
      </c>
      <c r="F66" s="103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2">
        <f t="shared" si="226"/>
        <v>0</v>
      </c>
      <c r="AP66" s="17">
        <f>AO66*500</f>
        <v>0</v>
      </c>
      <c r="AQ66" s="12">
        <f t="shared" si="227"/>
        <v>0</v>
      </c>
      <c r="AR66" s="17"/>
      <c r="AS66" s="126">
        <f t="shared" si="264"/>
        <v>0</v>
      </c>
      <c r="AT66" s="56">
        <v>0</v>
      </c>
      <c r="AU66" s="50"/>
      <c r="AV66" s="12"/>
      <c r="AW66" s="12"/>
      <c r="AX66" s="12"/>
      <c r="AY66" s="12">
        <f t="shared" si="228"/>
        <v>0</v>
      </c>
      <c r="AZ66" s="12">
        <f t="shared" si="229"/>
        <v>0</v>
      </c>
      <c r="BA66" s="12">
        <f t="shared" si="230"/>
        <v>0</v>
      </c>
      <c r="BB66" s="12">
        <f t="shared" si="231"/>
        <v>0</v>
      </c>
      <c r="BC66" s="12">
        <f t="shared" si="232"/>
        <v>0</v>
      </c>
      <c r="BD66" s="12">
        <f t="shared" si="233"/>
        <v>0</v>
      </c>
      <c r="BE66" s="12">
        <f t="shared" si="234"/>
        <v>0</v>
      </c>
      <c r="BF66" s="12">
        <f t="shared" si="235"/>
        <v>0</v>
      </c>
      <c r="BG66" s="12">
        <f t="shared" si="236"/>
        <v>0</v>
      </c>
      <c r="BH66" s="12">
        <f t="shared" si="237"/>
        <v>0</v>
      </c>
      <c r="BI66" s="12">
        <f t="shared" si="238"/>
        <v>0</v>
      </c>
      <c r="BJ66" s="12">
        <f t="shared" si="239"/>
        <v>0</v>
      </c>
      <c r="BK66" s="12">
        <f t="shared" si="240"/>
        <v>0</v>
      </c>
      <c r="BL66" s="12">
        <f t="shared" si="241"/>
        <v>0</v>
      </c>
      <c r="BM66" s="12">
        <f t="shared" si="242"/>
        <v>0</v>
      </c>
      <c r="BN66" s="12">
        <f t="shared" si="243"/>
        <v>0</v>
      </c>
      <c r="BO66" s="12">
        <f t="shared" si="244"/>
        <v>0</v>
      </c>
      <c r="BP66" s="12">
        <f t="shared" si="245"/>
        <v>0</v>
      </c>
      <c r="BQ66" s="12">
        <f t="shared" si="246"/>
        <v>0</v>
      </c>
      <c r="BR66" s="12">
        <f t="shared" si="247"/>
        <v>0</v>
      </c>
      <c r="BS66" s="12">
        <f t="shared" si="248"/>
        <v>0</v>
      </c>
      <c r="BT66" s="12">
        <f t="shared" si="249"/>
        <v>0</v>
      </c>
      <c r="BU66" s="12">
        <f t="shared" si="250"/>
        <v>0</v>
      </c>
      <c r="BV66" s="12">
        <f t="shared" si="251"/>
        <v>0</v>
      </c>
      <c r="BW66" s="12">
        <f t="shared" si="252"/>
        <v>0</v>
      </c>
      <c r="BX66" s="12">
        <f t="shared" si="253"/>
        <v>0</v>
      </c>
      <c r="BY66" s="12">
        <f t="shared" si="254"/>
        <v>0</v>
      </c>
      <c r="BZ66" s="12">
        <f t="shared" si="255"/>
        <v>0</v>
      </c>
      <c r="CA66" s="12">
        <f t="shared" si="256"/>
        <v>0</v>
      </c>
      <c r="CB66" s="12">
        <f t="shared" si="257"/>
        <v>0</v>
      </c>
      <c r="CC66" s="12">
        <f t="shared" si="258"/>
        <v>0</v>
      </c>
      <c r="CD66" s="12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2"/>
      <c r="CQ66" s="17"/>
      <c r="CR66" s="17"/>
      <c r="CS66" s="17"/>
      <c r="CT66" s="17"/>
      <c r="CU66" s="17"/>
      <c r="CV66" s="12"/>
      <c r="CW66" s="17"/>
      <c r="CX66" s="17"/>
      <c r="CY66" s="17"/>
      <c r="CZ66" s="17"/>
      <c r="DA66" s="17"/>
      <c r="DB66" s="17"/>
      <c r="DC66" s="17"/>
      <c r="DD66" s="17"/>
      <c r="DE66" s="12"/>
      <c r="DF66" s="17"/>
      <c r="DG66" s="17"/>
      <c r="DH66" s="17"/>
      <c r="DI66" s="36">
        <f t="shared" si="225"/>
        <v>0</v>
      </c>
      <c r="DJ66" s="12">
        <f>DI66*500</f>
        <v>0</v>
      </c>
      <c r="DK66" s="12">
        <f t="shared" si="259"/>
        <v>0</v>
      </c>
      <c r="DL66" s="12">
        <f>DK66*500</f>
        <v>0</v>
      </c>
      <c r="DM66" s="12">
        <f t="shared" si="260"/>
        <v>0</v>
      </c>
      <c r="DN66" s="12">
        <f>DM66*500</f>
        <v>0</v>
      </c>
      <c r="DO66" s="12">
        <f t="shared" si="261"/>
        <v>0</v>
      </c>
      <c r="DP66" s="12">
        <f>DO66*500</f>
        <v>0</v>
      </c>
      <c r="DQ66" s="12">
        <f t="shared" si="262"/>
        <v>0</v>
      </c>
      <c r="DR66" s="12">
        <f>DQ66*500</f>
        <v>0</v>
      </c>
      <c r="DS66" s="12">
        <f t="shared" si="263"/>
        <v>0</v>
      </c>
      <c r="DT66" s="12">
        <f>DS66*500</f>
        <v>0</v>
      </c>
    </row>
    <row r="67" spans="1:124" ht="14.25" customHeight="1">
      <c r="A67" s="30">
        <v>63</v>
      </c>
      <c r="B67" s="19" t="s">
        <v>100</v>
      </c>
      <c r="C67" s="15" t="s">
        <v>32</v>
      </c>
      <c r="D67" s="99" t="s">
        <v>290</v>
      </c>
      <c r="E67" s="56">
        <v>115</v>
      </c>
      <c r="F67" s="103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2">
        <f>(E67+F67+G67+H67+I67-J67-K67-L67-M67-N67-O67-P67-Q67-R67-S67-T67-U67-V67-W67-X67-Y67-Z67-AA67-AB67-AC67-AD67-AE67-AF67-AG67-AH67-AI67-AJ67-AK67-AL67-AM67-AN67)</f>
        <v>115</v>
      </c>
      <c r="AP67" s="17">
        <f>AO67*24</f>
        <v>2760</v>
      </c>
      <c r="AQ67" s="12">
        <f t="shared" si="227"/>
        <v>3624</v>
      </c>
      <c r="AR67" s="58" t="s">
        <v>384</v>
      </c>
      <c r="AS67" s="126">
        <f t="shared" si="264"/>
        <v>36</v>
      </c>
      <c r="AT67" s="56">
        <v>56</v>
      </c>
      <c r="AU67" s="50">
        <v>30</v>
      </c>
      <c r="AV67" s="12">
        <v>20</v>
      </c>
      <c r="AW67" s="12"/>
      <c r="AX67" s="12"/>
      <c r="AY67" s="12">
        <f>J67*24</f>
        <v>0</v>
      </c>
      <c r="AZ67" s="12">
        <f t="shared" ref="AZ67:CC67" si="272">K67*24</f>
        <v>0</v>
      </c>
      <c r="BA67" s="12">
        <f t="shared" si="272"/>
        <v>0</v>
      </c>
      <c r="BB67" s="12">
        <f t="shared" si="272"/>
        <v>0</v>
      </c>
      <c r="BC67" s="12">
        <f t="shared" si="272"/>
        <v>0</v>
      </c>
      <c r="BD67" s="12">
        <f t="shared" si="272"/>
        <v>0</v>
      </c>
      <c r="BE67" s="12">
        <f t="shared" si="272"/>
        <v>0</v>
      </c>
      <c r="BF67" s="12">
        <f t="shared" si="272"/>
        <v>0</v>
      </c>
      <c r="BG67" s="12">
        <f t="shared" si="272"/>
        <v>0</v>
      </c>
      <c r="BH67" s="12">
        <f t="shared" si="272"/>
        <v>0</v>
      </c>
      <c r="BI67" s="12">
        <f t="shared" si="272"/>
        <v>0</v>
      </c>
      <c r="BJ67" s="12">
        <f t="shared" si="272"/>
        <v>0</v>
      </c>
      <c r="BK67" s="12">
        <f t="shared" si="272"/>
        <v>0</v>
      </c>
      <c r="BL67" s="12">
        <f t="shared" si="272"/>
        <v>0</v>
      </c>
      <c r="BM67" s="12">
        <f t="shared" si="272"/>
        <v>0</v>
      </c>
      <c r="BN67" s="12">
        <f t="shared" si="272"/>
        <v>0</v>
      </c>
      <c r="BO67" s="12">
        <f t="shared" si="272"/>
        <v>0</v>
      </c>
      <c r="BP67" s="12">
        <f t="shared" si="272"/>
        <v>0</v>
      </c>
      <c r="BQ67" s="12">
        <f t="shared" si="272"/>
        <v>0</v>
      </c>
      <c r="BR67" s="12">
        <f t="shared" si="272"/>
        <v>0</v>
      </c>
      <c r="BS67" s="12">
        <f t="shared" si="272"/>
        <v>0</v>
      </c>
      <c r="BT67" s="12">
        <f t="shared" si="272"/>
        <v>0</v>
      </c>
      <c r="BU67" s="12">
        <f t="shared" si="272"/>
        <v>0</v>
      </c>
      <c r="BV67" s="12">
        <f t="shared" si="272"/>
        <v>0</v>
      </c>
      <c r="BW67" s="12">
        <f t="shared" si="272"/>
        <v>0</v>
      </c>
      <c r="BX67" s="12">
        <f t="shared" si="272"/>
        <v>0</v>
      </c>
      <c r="BY67" s="12">
        <f t="shared" si="272"/>
        <v>0</v>
      </c>
      <c r="BZ67" s="12">
        <f t="shared" si="272"/>
        <v>0</v>
      </c>
      <c r="CA67" s="12">
        <f t="shared" si="272"/>
        <v>0</v>
      </c>
      <c r="CB67" s="12">
        <f t="shared" si="272"/>
        <v>0</v>
      </c>
      <c r="CC67" s="12">
        <f t="shared" si="272"/>
        <v>0</v>
      </c>
      <c r="CD67" s="12"/>
      <c r="CE67" s="17"/>
      <c r="CF67" s="17"/>
      <c r="CG67" s="17">
        <v>26</v>
      </c>
      <c r="CH67" s="17"/>
      <c r="CI67" s="17"/>
      <c r="CJ67" s="17"/>
      <c r="CK67" s="17"/>
      <c r="CL67" s="17"/>
      <c r="CM67" s="17"/>
      <c r="CN67" s="17"/>
      <c r="CO67" s="17">
        <v>27</v>
      </c>
      <c r="CP67" s="12"/>
      <c r="CQ67" s="17"/>
      <c r="CR67" s="17"/>
      <c r="CS67" s="17"/>
      <c r="CT67" s="17">
        <v>17</v>
      </c>
      <c r="CU67" s="17"/>
      <c r="CV67" s="12"/>
      <c r="CW67" s="17"/>
      <c r="CX67" s="17"/>
      <c r="CY67" s="17"/>
      <c r="CZ67" s="17"/>
      <c r="DA67" s="17"/>
      <c r="DB67" s="17"/>
      <c r="DC67" s="17"/>
      <c r="DD67" s="17"/>
      <c r="DE67" s="12"/>
      <c r="DF67" s="17"/>
      <c r="DG67" s="17"/>
      <c r="DH67" s="17"/>
      <c r="DI67" s="36">
        <f>(AT67+SUM(AU67:AX67)+SUM(AY67:CC67)-SUM(CD67:DH67))</f>
        <v>36</v>
      </c>
      <c r="DJ67" s="12">
        <f>DI67*24</f>
        <v>864</v>
      </c>
      <c r="DK67" s="12">
        <f t="shared" si="259"/>
        <v>26</v>
      </c>
      <c r="DL67" s="12">
        <f>DK67*24</f>
        <v>624</v>
      </c>
      <c r="DM67" s="12">
        <f t="shared" si="260"/>
        <v>27</v>
      </c>
      <c r="DN67" s="12">
        <f>DM67*24</f>
        <v>648</v>
      </c>
      <c r="DO67" s="12">
        <f t="shared" si="261"/>
        <v>17</v>
      </c>
      <c r="DP67" s="12">
        <f>DO67*24</f>
        <v>408</v>
      </c>
      <c r="DQ67" s="12">
        <f t="shared" si="262"/>
        <v>0</v>
      </c>
      <c r="DR67" s="12">
        <f>DQ67*24</f>
        <v>0</v>
      </c>
      <c r="DS67" s="12">
        <f t="shared" si="263"/>
        <v>70</v>
      </c>
      <c r="DT67" s="12">
        <f>DS67*24</f>
        <v>1680</v>
      </c>
    </row>
    <row r="68" spans="1:124" ht="14.25" customHeight="1">
      <c r="A68" s="30">
        <v>64</v>
      </c>
      <c r="B68" s="19" t="s">
        <v>101</v>
      </c>
      <c r="C68" s="15" t="s">
        <v>32</v>
      </c>
      <c r="D68" s="97" t="s">
        <v>55</v>
      </c>
      <c r="E68" s="56">
        <v>0</v>
      </c>
      <c r="F68" s="103"/>
      <c r="G68" s="17"/>
      <c r="H68" s="17"/>
      <c r="I68" s="17"/>
      <c r="J68" s="17"/>
      <c r="K68" s="17"/>
      <c r="L68" s="17"/>
      <c r="M68" s="55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2">
        <f>(E68+F68+G68+H68+I68-J68-K68-L68-M68-N68-O68-P68-Q68-R68-S68-T68-U68-V68-W68-X68-Y68-Z68-AA68-AB68-AC68-AD68-AE68-AF68-AG68-AH68-AI68-AJ68-AK68-AL68-AM68-AN68)</f>
        <v>0</v>
      </c>
      <c r="AP68" s="17">
        <f>AO68*3960</f>
        <v>0</v>
      </c>
      <c r="AQ68" s="12">
        <f t="shared" si="227"/>
        <v>3960</v>
      </c>
      <c r="AR68" s="20" t="s">
        <v>102</v>
      </c>
      <c r="AS68" s="126">
        <f t="shared" si="264"/>
        <v>12</v>
      </c>
      <c r="AT68" s="56">
        <v>22</v>
      </c>
      <c r="AU68" s="50"/>
      <c r="AV68" s="12"/>
      <c r="AW68" s="12"/>
      <c r="AX68" s="12"/>
      <c r="AY68" s="12">
        <f>J68*12</f>
        <v>0</v>
      </c>
      <c r="AZ68" s="12">
        <f t="shared" ref="AZ68:CC68" si="273">K68*12</f>
        <v>0</v>
      </c>
      <c r="BA68" s="12">
        <f t="shared" si="273"/>
        <v>0</v>
      </c>
      <c r="BB68" s="12">
        <f t="shared" si="273"/>
        <v>0</v>
      </c>
      <c r="BC68" s="12">
        <f t="shared" si="273"/>
        <v>0</v>
      </c>
      <c r="BD68" s="12">
        <f t="shared" si="273"/>
        <v>0</v>
      </c>
      <c r="BE68" s="12">
        <f t="shared" si="273"/>
        <v>0</v>
      </c>
      <c r="BF68" s="12">
        <f t="shared" si="273"/>
        <v>0</v>
      </c>
      <c r="BG68" s="12">
        <f t="shared" si="273"/>
        <v>0</v>
      </c>
      <c r="BH68" s="12">
        <f t="shared" si="273"/>
        <v>0</v>
      </c>
      <c r="BI68" s="12">
        <f t="shared" si="273"/>
        <v>0</v>
      </c>
      <c r="BJ68" s="12">
        <f t="shared" si="273"/>
        <v>0</v>
      </c>
      <c r="BK68" s="12">
        <f t="shared" si="273"/>
        <v>0</v>
      </c>
      <c r="BL68" s="12">
        <f t="shared" si="273"/>
        <v>0</v>
      </c>
      <c r="BM68" s="12">
        <f t="shared" si="273"/>
        <v>0</v>
      </c>
      <c r="BN68" s="12">
        <f t="shared" si="273"/>
        <v>0</v>
      </c>
      <c r="BO68" s="12">
        <f t="shared" si="273"/>
        <v>0</v>
      </c>
      <c r="BP68" s="12">
        <f t="shared" si="273"/>
        <v>0</v>
      </c>
      <c r="BQ68" s="12">
        <f t="shared" si="273"/>
        <v>0</v>
      </c>
      <c r="BR68" s="12">
        <f t="shared" si="273"/>
        <v>0</v>
      </c>
      <c r="BS68" s="12">
        <f t="shared" si="273"/>
        <v>0</v>
      </c>
      <c r="BT68" s="12">
        <f t="shared" si="273"/>
        <v>0</v>
      </c>
      <c r="BU68" s="12">
        <f t="shared" si="273"/>
        <v>0</v>
      </c>
      <c r="BV68" s="12">
        <f t="shared" si="273"/>
        <v>0</v>
      </c>
      <c r="BW68" s="12">
        <f t="shared" si="273"/>
        <v>0</v>
      </c>
      <c r="BX68" s="12">
        <f t="shared" si="273"/>
        <v>0</v>
      </c>
      <c r="BY68" s="12">
        <f t="shared" si="273"/>
        <v>0</v>
      </c>
      <c r="BZ68" s="12">
        <f t="shared" si="273"/>
        <v>0</v>
      </c>
      <c r="CA68" s="12">
        <f t="shared" si="273"/>
        <v>0</v>
      </c>
      <c r="CB68" s="12">
        <f t="shared" si="273"/>
        <v>0</v>
      </c>
      <c r="CC68" s="12">
        <f t="shared" si="273"/>
        <v>0</v>
      </c>
      <c r="CD68" s="12"/>
      <c r="CE68" s="17"/>
      <c r="CF68" s="17"/>
      <c r="CG68" s="17">
        <v>4</v>
      </c>
      <c r="CH68" s="17"/>
      <c r="CI68" s="17"/>
      <c r="CJ68" s="17"/>
      <c r="CK68" s="17"/>
      <c r="CL68" s="17"/>
      <c r="CM68" s="17"/>
      <c r="CN68" s="17"/>
      <c r="CO68" s="17"/>
      <c r="CP68" s="12"/>
      <c r="CQ68" s="17"/>
      <c r="CR68" s="17"/>
      <c r="CS68" s="17"/>
      <c r="CT68" s="17">
        <v>6</v>
      </c>
      <c r="CU68" s="17"/>
      <c r="CV68" s="12"/>
      <c r="CW68" s="17"/>
      <c r="CX68" s="17"/>
      <c r="CY68" s="17"/>
      <c r="CZ68" s="17"/>
      <c r="DA68" s="17"/>
      <c r="DB68" s="17"/>
      <c r="DC68" s="17"/>
      <c r="DD68" s="17"/>
      <c r="DE68" s="12"/>
      <c r="DF68" s="17"/>
      <c r="DG68" s="17"/>
      <c r="DH68" s="17"/>
      <c r="DI68" s="36">
        <f>(AT68+SUM(AU68:AX68)*12+SUM(AY68:CC68)-SUM(CD68:DH68))</f>
        <v>12</v>
      </c>
      <c r="DJ68" s="12">
        <f>DI68*330</f>
        <v>3960</v>
      </c>
      <c r="DK68" s="12">
        <f t="shared" si="259"/>
        <v>4</v>
      </c>
      <c r="DL68" s="12">
        <f>DK68*330</f>
        <v>1320</v>
      </c>
      <c r="DM68" s="12">
        <f t="shared" si="260"/>
        <v>0</v>
      </c>
      <c r="DN68" s="12">
        <f>DM68*330</f>
        <v>0</v>
      </c>
      <c r="DO68" s="12">
        <f t="shared" si="261"/>
        <v>6</v>
      </c>
      <c r="DP68" s="12">
        <f>DO68*330</f>
        <v>1980</v>
      </c>
      <c r="DQ68" s="12">
        <f t="shared" si="262"/>
        <v>0</v>
      </c>
      <c r="DR68" s="12">
        <f>DQ68*330</f>
        <v>0</v>
      </c>
      <c r="DS68" s="12">
        <f t="shared" si="263"/>
        <v>10</v>
      </c>
      <c r="DT68" s="12">
        <f>DS68*330</f>
        <v>3300</v>
      </c>
    </row>
    <row r="69" spans="1:124" ht="14.25" customHeight="1">
      <c r="A69" s="30">
        <v>65</v>
      </c>
      <c r="B69" s="19" t="s">
        <v>103</v>
      </c>
      <c r="C69" s="15" t="s">
        <v>32</v>
      </c>
      <c r="D69" s="95"/>
      <c r="E69" s="56">
        <v>0</v>
      </c>
      <c r="F69" s="103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2">
        <f t="shared" si="226"/>
        <v>0</v>
      </c>
      <c r="AP69" s="17">
        <f>AO69*350</f>
        <v>0</v>
      </c>
      <c r="AQ69" s="12">
        <f t="shared" si="227"/>
        <v>0</v>
      </c>
      <c r="AR69" s="20"/>
      <c r="AS69" s="126">
        <f t="shared" si="264"/>
        <v>0</v>
      </c>
      <c r="AT69" s="56">
        <v>0</v>
      </c>
      <c r="AU69" s="50"/>
      <c r="AV69" s="12"/>
      <c r="AW69" s="12"/>
      <c r="AX69" s="12"/>
      <c r="AY69" s="12">
        <f>J69*24</f>
        <v>0</v>
      </c>
      <c r="AZ69" s="12">
        <f t="shared" ref="AZ69:CC69" si="274">K69*24</f>
        <v>0</v>
      </c>
      <c r="BA69" s="12">
        <f t="shared" si="274"/>
        <v>0</v>
      </c>
      <c r="BB69" s="12">
        <f t="shared" si="274"/>
        <v>0</v>
      </c>
      <c r="BC69" s="12">
        <f t="shared" si="274"/>
        <v>0</v>
      </c>
      <c r="BD69" s="12">
        <f t="shared" si="274"/>
        <v>0</v>
      </c>
      <c r="BE69" s="12">
        <f t="shared" si="274"/>
        <v>0</v>
      </c>
      <c r="BF69" s="12">
        <f t="shared" si="274"/>
        <v>0</v>
      </c>
      <c r="BG69" s="12">
        <f t="shared" si="274"/>
        <v>0</v>
      </c>
      <c r="BH69" s="12">
        <f t="shared" si="274"/>
        <v>0</v>
      </c>
      <c r="BI69" s="12">
        <f t="shared" si="274"/>
        <v>0</v>
      </c>
      <c r="BJ69" s="12">
        <f t="shared" si="274"/>
        <v>0</v>
      </c>
      <c r="BK69" s="12">
        <f t="shared" si="274"/>
        <v>0</v>
      </c>
      <c r="BL69" s="12">
        <f t="shared" si="274"/>
        <v>0</v>
      </c>
      <c r="BM69" s="12">
        <f t="shared" si="274"/>
        <v>0</v>
      </c>
      <c r="BN69" s="12">
        <f t="shared" si="274"/>
        <v>0</v>
      </c>
      <c r="BO69" s="12">
        <f t="shared" si="274"/>
        <v>0</v>
      </c>
      <c r="BP69" s="12">
        <f t="shared" si="274"/>
        <v>0</v>
      </c>
      <c r="BQ69" s="12">
        <f t="shared" si="274"/>
        <v>0</v>
      </c>
      <c r="BR69" s="12">
        <f t="shared" si="274"/>
        <v>0</v>
      </c>
      <c r="BS69" s="12">
        <f t="shared" si="274"/>
        <v>0</v>
      </c>
      <c r="BT69" s="12">
        <f t="shared" si="274"/>
        <v>0</v>
      </c>
      <c r="BU69" s="12">
        <f t="shared" si="274"/>
        <v>0</v>
      </c>
      <c r="BV69" s="12">
        <f t="shared" si="274"/>
        <v>0</v>
      </c>
      <c r="BW69" s="12">
        <f t="shared" si="274"/>
        <v>0</v>
      </c>
      <c r="BX69" s="12">
        <f t="shared" si="274"/>
        <v>0</v>
      </c>
      <c r="BY69" s="12">
        <f t="shared" si="274"/>
        <v>0</v>
      </c>
      <c r="BZ69" s="12">
        <f t="shared" si="274"/>
        <v>0</v>
      </c>
      <c r="CA69" s="12">
        <f t="shared" si="274"/>
        <v>0</v>
      </c>
      <c r="CB69" s="12">
        <f t="shared" si="274"/>
        <v>0</v>
      </c>
      <c r="CC69" s="12">
        <f t="shared" si="274"/>
        <v>0</v>
      </c>
      <c r="CD69" s="12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2"/>
      <c r="CQ69" s="17"/>
      <c r="CR69" s="17"/>
      <c r="CS69" s="17"/>
      <c r="CT69" s="17"/>
      <c r="CU69" s="17"/>
      <c r="CV69" s="12"/>
      <c r="CW69" s="17"/>
      <c r="CX69" s="17"/>
      <c r="CY69" s="17"/>
      <c r="CZ69" s="17"/>
      <c r="DA69" s="17"/>
      <c r="DB69" s="17"/>
      <c r="DC69" s="17"/>
      <c r="DD69" s="17"/>
      <c r="DE69" s="12"/>
      <c r="DF69" s="17"/>
      <c r="DG69" s="17"/>
      <c r="DH69" s="17"/>
      <c r="DI69" s="36">
        <f>(AT69+SUM(AU69:AX69)*24+SUM(AY69:CC69)-SUM(CD69:DH69))</f>
        <v>0</v>
      </c>
      <c r="DJ69" s="12">
        <f>DI69*350</f>
        <v>0</v>
      </c>
      <c r="DK69" s="12">
        <f t="shared" si="259"/>
        <v>0</v>
      </c>
      <c r="DL69" s="12">
        <f>DK69*350</f>
        <v>0</v>
      </c>
      <c r="DM69" s="12">
        <f t="shared" si="260"/>
        <v>0</v>
      </c>
      <c r="DN69" s="12">
        <f>DM69*350</f>
        <v>0</v>
      </c>
      <c r="DO69" s="12">
        <f t="shared" si="261"/>
        <v>0</v>
      </c>
      <c r="DP69" s="12">
        <f>DO69*350</f>
        <v>0</v>
      </c>
      <c r="DQ69" s="12">
        <f t="shared" si="262"/>
        <v>0</v>
      </c>
      <c r="DR69" s="12">
        <f>DQ69*350</f>
        <v>0</v>
      </c>
      <c r="DS69" s="12">
        <f t="shared" si="263"/>
        <v>0</v>
      </c>
      <c r="DT69" s="12">
        <f>DS69*350</f>
        <v>0</v>
      </c>
    </row>
    <row r="70" spans="1:124" ht="14.25" customHeight="1">
      <c r="A70" s="30">
        <v>66</v>
      </c>
      <c r="B70" s="26" t="s">
        <v>104</v>
      </c>
      <c r="C70" s="15" t="s">
        <v>32</v>
      </c>
      <c r="D70" s="100" t="s">
        <v>105</v>
      </c>
      <c r="E70" s="56">
        <v>0</v>
      </c>
      <c r="F70" s="103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2">
        <f t="shared" si="226"/>
        <v>0</v>
      </c>
      <c r="AP70" s="17">
        <f>AO70*500</f>
        <v>0</v>
      </c>
      <c r="AQ70" s="12">
        <f t="shared" si="227"/>
        <v>2000</v>
      </c>
      <c r="AR70" s="17"/>
      <c r="AS70" s="126">
        <f t="shared" si="264"/>
        <v>4</v>
      </c>
      <c r="AT70" s="56">
        <v>4</v>
      </c>
      <c r="AU70" s="50"/>
      <c r="AV70" s="12"/>
      <c r="AW70" s="12"/>
      <c r="AX70" s="12"/>
      <c r="AY70" s="12">
        <f t="shared" si="228"/>
        <v>0</v>
      </c>
      <c r="AZ70" s="12">
        <f t="shared" si="229"/>
        <v>0</v>
      </c>
      <c r="BA70" s="12">
        <f t="shared" si="230"/>
        <v>0</v>
      </c>
      <c r="BB70" s="12">
        <f t="shared" si="231"/>
        <v>0</v>
      </c>
      <c r="BC70" s="12">
        <f t="shared" si="232"/>
        <v>0</v>
      </c>
      <c r="BD70" s="12">
        <f t="shared" si="233"/>
        <v>0</v>
      </c>
      <c r="BE70" s="12">
        <f t="shared" si="234"/>
        <v>0</v>
      </c>
      <c r="BF70" s="12">
        <f t="shared" si="235"/>
        <v>0</v>
      </c>
      <c r="BG70" s="12">
        <f t="shared" si="236"/>
        <v>0</v>
      </c>
      <c r="BH70" s="12">
        <f t="shared" si="237"/>
        <v>0</v>
      </c>
      <c r="BI70" s="12">
        <f t="shared" si="238"/>
        <v>0</v>
      </c>
      <c r="BJ70" s="12">
        <f t="shared" si="239"/>
        <v>0</v>
      </c>
      <c r="BK70" s="12">
        <f t="shared" si="240"/>
        <v>0</v>
      </c>
      <c r="BL70" s="12">
        <f t="shared" si="241"/>
        <v>0</v>
      </c>
      <c r="BM70" s="12">
        <f t="shared" si="242"/>
        <v>0</v>
      </c>
      <c r="BN70" s="12">
        <f t="shared" si="243"/>
        <v>0</v>
      </c>
      <c r="BO70" s="12">
        <f t="shared" si="244"/>
        <v>0</v>
      </c>
      <c r="BP70" s="12">
        <f t="shared" si="245"/>
        <v>0</v>
      </c>
      <c r="BQ70" s="12">
        <f t="shared" si="246"/>
        <v>0</v>
      </c>
      <c r="BR70" s="12">
        <f t="shared" si="247"/>
        <v>0</v>
      </c>
      <c r="BS70" s="12">
        <f t="shared" si="248"/>
        <v>0</v>
      </c>
      <c r="BT70" s="12">
        <f t="shared" si="249"/>
        <v>0</v>
      </c>
      <c r="BU70" s="12">
        <f t="shared" si="250"/>
        <v>0</v>
      </c>
      <c r="BV70" s="12">
        <f t="shared" si="251"/>
        <v>0</v>
      </c>
      <c r="BW70" s="12">
        <f t="shared" si="252"/>
        <v>0</v>
      </c>
      <c r="BX70" s="12">
        <f t="shared" si="253"/>
        <v>0</v>
      </c>
      <c r="BY70" s="12">
        <f t="shared" si="254"/>
        <v>0</v>
      </c>
      <c r="BZ70" s="12">
        <f t="shared" si="255"/>
        <v>0</v>
      </c>
      <c r="CA70" s="12">
        <f t="shared" si="256"/>
        <v>0</v>
      </c>
      <c r="CB70" s="12">
        <f t="shared" si="257"/>
        <v>0</v>
      </c>
      <c r="CC70" s="12">
        <f t="shared" si="258"/>
        <v>0</v>
      </c>
      <c r="CD70" s="12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2"/>
      <c r="CQ70" s="17"/>
      <c r="CR70" s="17"/>
      <c r="CS70" s="17"/>
      <c r="CT70" s="17"/>
      <c r="CU70" s="17"/>
      <c r="CV70" s="12"/>
      <c r="CW70" s="17"/>
      <c r="CX70" s="17"/>
      <c r="CY70" s="17"/>
      <c r="CZ70" s="17"/>
      <c r="DA70" s="17"/>
      <c r="DB70" s="17"/>
      <c r="DC70" s="17"/>
      <c r="DD70" s="17"/>
      <c r="DE70" s="12"/>
      <c r="DF70" s="17"/>
      <c r="DG70" s="17"/>
      <c r="DH70" s="17"/>
      <c r="DI70" s="36">
        <f>(AT70+SUM(AU70:AX70)+SUM(AY70:CC70)-SUM(CD70:DH70))</f>
        <v>4</v>
      </c>
      <c r="DJ70" s="12">
        <f>DI70*500</f>
        <v>2000</v>
      </c>
      <c r="DK70" s="12">
        <f t="shared" si="259"/>
        <v>0</v>
      </c>
      <c r="DL70" s="12">
        <f>DK70*500</f>
        <v>0</v>
      </c>
      <c r="DM70" s="12">
        <f t="shared" si="260"/>
        <v>0</v>
      </c>
      <c r="DN70" s="12">
        <f>DM70*500</f>
        <v>0</v>
      </c>
      <c r="DO70" s="12">
        <f t="shared" si="261"/>
        <v>0</v>
      </c>
      <c r="DP70" s="12">
        <f>DO70*500</f>
        <v>0</v>
      </c>
      <c r="DQ70" s="12">
        <f t="shared" si="262"/>
        <v>0</v>
      </c>
      <c r="DR70" s="12">
        <f>DQ70*500</f>
        <v>0</v>
      </c>
      <c r="DS70" s="12">
        <f t="shared" si="263"/>
        <v>0</v>
      </c>
      <c r="DT70" s="12">
        <f>DS70*500</f>
        <v>0</v>
      </c>
    </row>
    <row r="71" spans="1:124" ht="14.25" customHeight="1">
      <c r="A71" s="30">
        <v>67</v>
      </c>
      <c r="B71" s="26" t="s">
        <v>106</v>
      </c>
      <c r="C71" s="15" t="s">
        <v>32</v>
      </c>
      <c r="D71" s="100" t="s">
        <v>105</v>
      </c>
      <c r="E71" s="56">
        <v>0</v>
      </c>
      <c r="F71" s="103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2">
        <f t="shared" si="226"/>
        <v>0</v>
      </c>
      <c r="AP71" s="17">
        <f>AO71*1000</f>
        <v>0</v>
      </c>
      <c r="AQ71" s="12">
        <f t="shared" si="227"/>
        <v>3000</v>
      </c>
      <c r="AR71" s="17"/>
      <c r="AS71" s="126">
        <f t="shared" si="264"/>
        <v>3</v>
      </c>
      <c r="AT71" s="56">
        <v>5</v>
      </c>
      <c r="AU71" s="50"/>
      <c r="AV71" s="12"/>
      <c r="AW71" s="12"/>
      <c r="AX71" s="12"/>
      <c r="AY71" s="12">
        <f t="shared" si="228"/>
        <v>0</v>
      </c>
      <c r="AZ71" s="12">
        <f t="shared" si="229"/>
        <v>0</v>
      </c>
      <c r="BA71" s="12">
        <f t="shared" si="230"/>
        <v>0</v>
      </c>
      <c r="BB71" s="12">
        <f t="shared" si="231"/>
        <v>0</v>
      </c>
      <c r="BC71" s="12">
        <f t="shared" si="232"/>
        <v>0</v>
      </c>
      <c r="BD71" s="12">
        <f t="shared" si="233"/>
        <v>0</v>
      </c>
      <c r="BE71" s="12">
        <f t="shared" si="234"/>
        <v>0</v>
      </c>
      <c r="BF71" s="12">
        <f t="shared" si="235"/>
        <v>0</v>
      </c>
      <c r="BG71" s="12">
        <f t="shared" si="236"/>
        <v>0</v>
      </c>
      <c r="BH71" s="12">
        <f t="shared" si="237"/>
        <v>0</v>
      </c>
      <c r="BI71" s="12">
        <f t="shared" si="238"/>
        <v>0</v>
      </c>
      <c r="BJ71" s="12">
        <f t="shared" si="239"/>
        <v>0</v>
      </c>
      <c r="BK71" s="12">
        <f t="shared" si="240"/>
        <v>0</v>
      </c>
      <c r="BL71" s="12">
        <f t="shared" si="241"/>
        <v>0</v>
      </c>
      <c r="BM71" s="12">
        <f t="shared" si="242"/>
        <v>0</v>
      </c>
      <c r="BN71" s="12">
        <f t="shared" si="243"/>
        <v>0</v>
      </c>
      <c r="BO71" s="12">
        <f t="shared" si="244"/>
        <v>0</v>
      </c>
      <c r="BP71" s="12">
        <f t="shared" si="245"/>
        <v>0</v>
      </c>
      <c r="BQ71" s="12">
        <f t="shared" si="246"/>
        <v>0</v>
      </c>
      <c r="BR71" s="12">
        <f t="shared" si="247"/>
        <v>0</v>
      </c>
      <c r="BS71" s="12">
        <f t="shared" si="248"/>
        <v>0</v>
      </c>
      <c r="BT71" s="12">
        <f t="shared" si="249"/>
        <v>0</v>
      </c>
      <c r="BU71" s="12">
        <f t="shared" si="250"/>
        <v>0</v>
      </c>
      <c r="BV71" s="12">
        <f t="shared" si="251"/>
        <v>0</v>
      </c>
      <c r="BW71" s="12">
        <f t="shared" si="252"/>
        <v>0</v>
      </c>
      <c r="BX71" s="12">
        <f t="shared" si="253"/>
        <v>0</v>
      </c>
      <c r="BY71" s="12">
        <f t="shared" si="254"/>
        <v>0</v>
      </c>
      <c r="BZ71" s="12">
        <f t="shared" si="255"/>
        <v>0</v>
      </c>
      <c r="CA71" s="12">
        <f t="shared" si="256"/>
        <v>0</v>
      </c>
      <c r="CB71" s="12">
        <f t="shared" si="257"/>
        <v>0</v>
      </c>
      <c r="CC71" s="12">
        <f t="shared" si="258"/>
        <v>0</v>
      </c>
      <c r="CD71" s="12"/>
      <c r="CE71" s="17"/>
      <c r="CF71" s="17"/>
      <c r="CG71" s="17">
        <v>1</v>
      </c>
      <c r="CH71" s="17"/>
      <c r="CI71" s="17">
        <v>1</v>
      </c>
      <c r="CJ71" s="17"/>
      <c r="CK71" s="17"/>
      <c r="CL71" s="17"/>
      <c r="CM71" s="17"/>
      <c r="CN71" s="17"/>
      <c r="CO71" s="17"/>
      <c r="CP71" s="12"/>
      <c r="CQ71" s="17"/>
      <c r="CR71" s="17"/>
      <c r="CS71" s="17"/>
      <c r="CT71" s="17"/>
      <c r="CU71" s="17"/>
      <c r="CV71" s="12"/>
      <c r="CW71" s="17"/>
      <c r="CX71" s="17"/>
      <c r="CY71" s="17"/>
      <c r="CZ71" s="17"/>
      <c r="DA71" s="17"/>
      <c r="DB71" s="17"/>
      <c r="DC71" s="17"/>
      <c r="DD71" s="17"/>
      <c r="DE71" s="12"/>
      <c r="DF71" s="17"/>
      <c r="DG71" s="17"/>
      <c r="DH71" s="17"/>
      <c r="DI71" s="36">
        <f>(AT71+SUM(AU71:AX71)+SUM(AY71:CC71)-SUM(CD71:DH71))</f>
        <v>3</v>
      </c>
      <c r="DJ71" s="12">
        <f>DI71*1000</f>
        <v>3000</v>
      </c>
      <c r="DK71" s="12">
        <f t="shared" si="259"/>
        <v>2</v>
      </c>
      <c r="DL71" s="12">
        <f>DK71*1000</f>
        <v>2000</v>
      </c>
      <c r="DM71" s="12">
        <f t="shared" si="260"/>
        <v>0</v>
      </c>
      <c r="DN71" s="12">
        <f>DM71*1000</f>
        <v>0</v>
      </c>
      <c r="DO71" s="12">
        <f t="shared" si="261"/>
        <v>0</v>
      </c>
      <c r="DP71" s="12">
        <f>DO71*1000</f>
        <v>0</v>
      </c>
      <c r="DQ71" s="12">
        <f t="shared" si="262"/>
        <v>0</v>
      </c>
      <c r="DR71" s="12">
        <f>DQ71*1000</f>
        <v>0</v>
      </c>
      <c r="DS71" s="12">
        <f t="shared" si="263"/>
        <v>2</v>
      </c>
      <c r="DT71" s="12">
        <f>DS71*1000</f>
        <v>2000</v>
      </c>
    </row>
    <row r="72" spans="1:124" ht="14.25" customHeight="1">
      <c r="A72" s="30">
        <v>68</v>
      </c>
      <c r="B72" s="19" t="s">
        <v>107</v>
      </c>
      <c r="C72" s="14"/>
      <c r="D72" s="95"/>
      <c r="E72" s="56">
        <v>0</v>
      </c>
      <c r="F72" s="103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2">
        <f t="shared" si="226"/>
        <v>0</v>
      </c>
      <c r="AP72" s="17">
        <f>AO72*6</f>
        <v>0</v>
      </c>
      <c r="AQ72" s="12">
        <f t="shared" si="227"/>
        <v>0</v>
      </c>
      <c r="AR72" s="17"/>
      <c r="AS72" s="126">
        <f t="shared" ref="AS72:AS85" si="275">DI72</f>
        <v>0</v>
      </c>
      <c r="AT72" s="56">
        <v>0</v>
      </c>
      <c r="AU72" s="50"/>
      <c r="AV72" s="12"/>
      <c r="AW72" s="12"/>
      <c r="AX72" s="12"/>
      <c r="AY72" s="12">
        <f>J72*6</f>
        <v>0</v>
      </c>
      <c r="AZ72" s="12">
        <f t="shared" ref="AZ72:CC72" si="276">K72*6</f>
        <v>0</v>
      </c>
      <c r="BA72" s="12">
        <f t="shared" si="276"/>
        <v>0</v>
      </c>
      <c r="BB72" s="12">
        <f t="shared" si="276"/>
        <v>0</v>
      </c>
      <c r="BC72" s="12">
        <f t="shared" si="276"/>
        <v>0</v>
      </c>
      <c r="BD72" s="12">
        <f t="shared" si="276"/>
        <v>0</v>
      </c>
      <c r="BE72" s="12">
        <f t="shared" si="276"/>
        <v>0</v>
      </c>
      <c r="BF72" s="12">
        <f t="shared" si="276"/>
        <v>0</v>
      </c>
      <c r="BG72" s="12">
        <f t="shared" si="276"/>
        <v>0</v>
      </c>
      <c r="BH72" s="12">
        <f t="shared" si="276"/>
        <v>0</v>
      </c>
      <c r="BI72" s="12">
        <f t="shared" si="276"/>
        <v>0</v>
      </c>
      <c r="BJ72" s="12">
        <f t="shared" si="276"/>
        <v>0</v>
      </c>
      <c r="BK72" s="12">
        <f t="shared" si="276"/>
        <v>0</v>
      </c>
      <c r="BL72" s="12">
        <f t="shared" si="276"/>
        <v>0</v>
      </c>
      <c r="BM72" s="12">
        <f t="shared" si="276"/>
        <v>0</v>
      </c>
      <c r="BN72" s="12">
        <f t="shared" si="276"/>
        <v>0</v>
      </c>
      <c r="BO72" s="12">
        <f t="shared" si="276"/>
        <v>0</v>
      </c>
      <c r="BP72" s="12">
        <f t="shared" si="276"/>
        <v>0</v>
      </c>
      <c r="BQ72" s="12">
        <f t="shared" si="276"/>
        <v>0</v>
      </c>
      <c r="BR72" s="12">
        <f t="shared" si="276"/>
        <v>0</v>
      </c>
      <c r="BS72" s="12">
        <f t="shared" si="276"/>
        <v>0</v>
      </c>
      <c r="BT72" s="12">
        <f t="shared" si="276"/>
        <v>0</v>
      </c>
      <c r="BU72" s="12">
        <f t="shared" si="276"/>
        <v>0</v>
      </c>
      <c r="BV72" s="12">
        <f t="shared" si="276"/>
        <v>0</v>
      </c>
      <c r="BW72" s="12">
        <f t="shared" si="276"/>
        <v>0</v>
      </c>
      <c r="BX72" s="12">
        <f t="shared" si="276"/>
        <v>0</v>
      </c>
      <c r="BY72" s="12">
        <f t="shared" si="276"/>
        <v>0</v>
      </c>
      <c r="BZ72" s="12">
        <f t="shared" si="276"/>
        <v>0</v>
      </c>
      <c r="CA72" s="12">
        <f t="shared" si="276"/>
        <v>0</v>
      </c>
      <c r="CB72" s="12">
        <f t="shared" si="276"/>
        <v>0</v>
      </c>
      <c r="CC72" s="12">
        <f t="shared" si="276"/>
        <v>0</v>
      </c>
      <c r="CD72" s="12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2"/>
      <c r="CQ72" s="17"/>
      <c r="CR72" s="17"/>
      <c r="CS72" s="17"/>
      <c r="CT72" s="17"/>
      <c r="CU72" s="17"/>
      <c r="CV72" s="12"/>
      <c r="CW72" s="17"/>
      <c r="CX72" s="17"/>
      <c r="CY72" s="17"/>
      <c r="CZ72" s="17"/>
      <c r="DA72" s="17"/>
      <c r="DB72" s="17"/>
      <c r="DC72" s="17"/>
      <c r="DD72" s="17"/>
      <c r="DE72" s="12"/>
      <c r="DF72" s="17"/>
      <c r="DG72" s="17"/>
      <c r="DH72" s="17"/>
      <c r="DI72" s="36">
        <f>(AT72+SUM(AU72:AX72)*6+SUM(AY72:CC72)-SUM(CD72:DH72))</f>
        <v>0</v>
      </c>
      <c r="DJ72" s="12">
        <f>DI72*6</f>
        <v>0</v>
      </c>
      <c r="DK72" s="12">
        <f t="shared" si="259"/>
        <v>0</v>
      </c>
      <c r="DL72" s="12">
        <f>DK72*6</f>
        <v>0</v>
      </c>
      <c r="DM72" s="12">
        <f t="shared" si="260"/>
        <v>0</v>
      </c>
      <c r="DN72" s="12">
        <f>DM72*6</f>
        <v>0</v>
      </c>
      <c r="DO72" s="12">
        <f t="shared" si="261"/>
        <v>0</v>
      </c>
      <c r="DP72" s="12">
        <f>DO72*6</f>
        <v>0</v>
      </c>
      <c r="DQ72" s="12">
        <f t="shared" si="262"/>
        <v>0</v>
      </c>
      <c r="DR72" s="12">
        <f>DQ72*6</f>
        <v>0</v>
      </c>
      <c r="DS72" s="12">
        <f t="shared" si="263"/>
        <v>0</v>
      </c>
      <c r="DT72" s="12">
        <f>DS72*6</f>
        <v>0</v>
      </c>
    </row>
    <row r="73" spans="1:124" ht="14.25" customHeight="1">
      <c r="A73" s="30">
        <v>69</v>
      </c>
      <c r="B73" s="19" t="s">
        <v>108</v>
      </c>
      <c r="C73" s="14"/>
      <c r="D73" s="95"/>
      <c r="E73" s="56">
        <v>0</v>
      </c>
      <c r="F73" s="103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2">
        <f t="shared" si="226"/>
        <v>0</v>
      </c>
      <c r="AP73" s="17">
        <f t="shared" ref="AP73:AP74" si="277">AO73*4</f>
        <v>0</v>
      </c>
      <c r="AQ73" s="12">
        <f t="shared" si="227"/>
        <v>0</v>
      </c>
      <c r="AR73" s="17"/>
      <c r="AS73" s="126">
        <f t="shared" si="275"/>
        <v>0</v>
      </c>
      <c r="AT73" s="56">
        <v>0</v>
      </c>
      <c r="AU73" s="50"/>
      <c r="AV73" s="12"/>
      <c r="AW73" s="12"/>
      <c r="AX73" s="12"/>
      <c r="AY73" s="12">
        <f>J73*4</f>
        <v>0</v>
      </c>
      <c r="AZ73" s="12">
        <f t="shared" ref="AZ73:CC74" si="278">K73*4</f>
        <v>0</v>
      </c>
      <c r="BA73" s="12">
        <f t="shared" si="278"/>
        <v>0</v>
      </c>
      <c r="BB73" s="12">
        <f t="shared" si="278"/>
        <v>0</v>
      </c>
      <c r="BC73" s="12">
        <f t="shared" si="278"/>
        <v>0</v>
      </c>
      <c r="BD73" s="12">
        <f t="shared" si="278"/>
        <v>0</v>
      </c>
      <c r="BE73" s="12">
        <f t="shared" si="278"/>
        <v>0</v>
      </c>
      <c r="BF73" s="12">
        <f t="shared" si="278"/>
        <v>0</v>
      </c>
      <c r="BG73" s="12">
        <f t="shared" si="278"/>
        <v>0</v>
      </c>
      <c r="BH73" s="12">
        <f t="shared" si="278"/>
        <v>0</v>
      </c>
      <c r="BI73" s="12">
        <f t="shared" si="278"/>
        <v>0</v>
      </c>
      <c r="BJ73" s="12">
        <f t="shared" si="278"/>
        <v>0</v>
      </c>
      <c r="BK73" s="12">
        <f t="shared" si="278"/>
        <v>0</v>
      </c>
      <c r="BL73" s="12">
        <f t="shared" si="278"/>
        <v>0</v>
      </c>
      <c r="BM73" s="12">
        <f t="shared" si="278"/>
        <v>0</v>
      </c>
      <c r="BN73" s="12">
        <f t="shared" si="278"/>
        <v>0</v>
      </c>
      <c r="BO73" s="12">
        <f t="shared" si="278"/>
        <v>0</v>
      </c>
      <c r="BP73" s="12">
        <f t="shared" si="278"/>
        <v>0</v>
      </c>
      <c r="BQ73" s="12">
        <f t="shared" si="278"/>
        <v>0</v>
      </c>
      <c r="BR73" s="12">
        <f t="shared" si="278"/>
        <v>0</v>
      </c>
      <c r="BS73" s="12">
        <f t="shared" si="278"/>
        <v>0</v>
      </c>
      <c r="BT73" s="12">
        <f t="shared" si="278"/>
        <v>0</v>
      </c>
      <c r="BU73" s="12">
        <f t="shared" si="278"/>
        <v>0</v>
      </c>
      <c r="BV73" s="12">
        <f t="shared" si="278"/>
        <v>0</v>
      </c>
      <c r="BW73" s="12">
        <f t="shared" si="278"/>
        <v>0</v>
      </c>
      <c r="BX73" s="12">
        <f t="shared" si="278"/>
        <v>0</v>
      </c>
      <c r="BY73" s="12">
        <f t="shared" si="278"/>
        <v>0</v>
      </c>
      <c r="BZ73" s="12">
        <f t="shared" si="278"/>
        <v>0</v>
      </c>
      <c r="CA73" s="12">
        <f t="shared" si="278"/>
        <v>0</v>
      </c>
      <c r="CB73" s="12">
        <f t="shared" si="278"/>
        <v>0</v>
      </c>
      <c r="CC73" s="12">
        <f t="shared" si="278"/>
        <v>0</v>
      </c>
      <c r="CD73" s="12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2"/>
      <c r="CQ73" s="17"/>
      <c r="CR73" s="17"/>
      <c r="CS73" s="17"/>
      <c r="CT73" s="17"/>
      <c r="CU73" s="17"/>
      <c r="CV73" s="12"/>
      <c r="CW73" s="17"/>
      <c r="CX73" s="17"/>
      <c r="CY73" s="17"/>
      <c r="CZ73" s="17"/>
      <c r="DA73" s="17"/>
      <c r="DB73" s="17"/>
      <c r="DC73" s="17"/>
      <c r="DD73" s="17"/>
      <c r="DE73" s="12"/>
      <c r="DF73" s="17"/>
      <c r="DG73" s="17"/>
      <c r="DH73" s="17"/>
      <c r="DI73" s="36">
        <f>(AT73+SUM(AU73:AX73)*4+SUM(AY73:CC73)-SUM(CD73:DH73))</f>
        <v>0</v>
      </c>
      <c r="DJ73" s="12">
        <f t="shared" ref="DJ73:DJ74" si="279">DI73*4</f>
        <v>0</v>
      </c>
      <c r="DK73" s="12">
        <f t="shared" si="259"/>
        <v>0</v>
      </c>
      <c r="DL73" s="12">
        <f t="shared" ref="DL73:DL74" si="280">DK73*4</f>
        <v>0</v>
      </c>
      <c r="DM73" s="12">
        <f t="shared" si="260"/>
        <v>0</v>
      </c>
      <c r="DN73" s="12">
        <f t="shared" ref="DN73:DN74" si="281">DM73*4</f>
        <v>0</v>
      </c>
      <c r="DO73" s="12">
        <f t="shared" si="261"/>
        <v>0</v>
      </c>
      <c r="DP73" s="12">
        <f t="shared" ref="DP73:DP74" si="282">DO73*4</f>
        <v>0</v>
      </c>
      <c r="DQ73" s="12">
        <f t="shared" si="262"/>
        <v>0</v>
      </c>
      <c r="DR73" s="12">
        <f t="shared" ref="DR73:DR74" si="283">DQ73*4</f>
        <v>0</v>
      </c>
      <c r="DS73" s="12">
        <f t="shared" si="263"/>
        <v>0</v>
      </c>
      <c r="DT73" s="12">
        <f t="shared" ref="DT73:DT74" si="284">DS73*4</f>
        <v>0</v>
      </c>
    </row>
    <row r="74" spans="1:124" ht="14.25" customHeight="1">
      <c r="A74" s="30">
        <v>70</v>
      </c>
      <c r="B74" s="19" t="s">
        <v>109</v>
      </c>
      <c r="C74" s="14"/>
      <c r="D74" s="95"/>
      <c r="E74" s="56">
        <v>0</v>
      </c>
      <c r="F74" s="103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2">
        <f t="shared" si="226"/>
        <v>0</v>
      </c>
      <c r="AP74" s="17">
        <f t="shared" si="277"/>
        <v>0</v>
      </c>
      <c r="AQ74" s="12">
        <f t="shared" si="227"/>
        <v>0</v>
      </c>
      <c r="AR74" s="17"/>
      <c r="AS74" s="126">
        <f t="shared" si="275"/>
        <v>0</v>
      </c>
      <c r="AT74" s="56">
        <v>0</v>
      </c>
      <c r="AU74" s="50"/>
      <c r="AV74" s="12"/>
      <c r="AW74" s="12"/>
      <c r="AX74" s="12"/>
      <c r="AY74" s="12">
        <f>J74*4</f>
        <v>0</v>
      </c>
      <c r="AZ74" s="12">
        <f t="shared" si="278"/>
        <v>0</v>
      </c>
      <c r="BA74" s="12">
        <f t="shared" si="278"/>
        <v>0</v>
      </c>
      <c r="BB74" s="12">
        <f t="shared" si="278"/>
        <v>0</v>
      </c>
      <c r="BC74" s="12">
        <f t="shared" si="278"/>
        <v>0</v>
      </c>
      <c r="BD74" s="12">
        <f t="shared" si="278"/>
        <v>0</v>
      </c>
      <c r="BE74" s="12">
        <f t="shared" si="278"/>
        <v>0</v>
      </c>
      <c r="BF74" s="12">
        <f t="shared" si="278"/>
        <v>0</v>
      </c>
      <c r="BG74" s="12">
        <f t="shared" si="278"/>
        <v>0</v>
      </c>
      <c r="BH74" s="12">
        <f t="shared" si="278"/>
        <v>0</v>
      </c>
      <c r="BI74" s="12">
        <f t="shared" si="278"/>
        <v>0</v>
      </c>
      <c r="BJ74" s="12">
        <f t="shared" si="278"/>
        <v>0</v>
      </c>
      <c r="BK74" s="12">
        <f t="shared" si="278"/>
        <v>0</v>
      </c>
      <c r="BL74" s="12">
        <f t="shared" si="278"/>
        <v>0</v>
      </c>
      <c r="BM74" s="12">
        <f t="shared" si="278"/>
        <v>0</v>
      </c>
      <c r="BN74" s="12">
        <f t="shared" si="278"/>
        <v>0</v>
      </c>
      <c r="BO74" s="12">
        <f t="shared" si="278"/>
        <v>0</v>
      </c>
      <c r="BP74" s="12">
        <f t="shared" si="278"/>
        <v>0</v>
      </c>
      <c r="BQ74" s="12">
        <f t="shared" si="278"/>
        <v>0</v>
      </c>
      <c r="BR74" s="12">
        <f t="shared" si="278"/>
        <v>0</v>
      </c>
      <c r="BS74" s="12">
        <f t="shared" si="278"/>
        <v>0</v>
      </c>
      <c r="BT74" s="12">
        <f t="shared" si="278"/>
        <v>0</v>
      </c>
      <c r="BU74" s="12">
        <f t="shared" si="278"/>
        <v>0</v>
      </c>
      <c r="BV74" s="12">
        <f t="shared" si="278"/>
        <v>0</v>
      </c>
      <c r="BW74" s="12">
        <f t="shared" si="278"/>
        <v>0</v>
      </c>
      <c r="BX74" s="12">
        <f t="shared" si="278"/>
        <v>0</v>
      </c>
      <c r="BY74" s="12">
        <f t="shared" si="278"/>
        <v>0</v>
      </c>
      <c r="BZ74" s="12">
        <f t="shared" si="278"/>
        <v>0</v>
      </c>
      <c r="CA74" s="12">
        <f t="shared" si="278"/>
        <v>0</v>
      </c>
      <c r="CB74" s="12">
        <f t="shared" si="278"/>
        <v>0</v>
      </c>
      <c r="CC74" s="12">
        <f t="shared" si="278"/>
        <v>0</v>
      </c>
      <c r="CD74" s="12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2"/>
      <c r="CQ74" s="17"/>
      <c r="CR74" s="17"/>
      <c r="CS74" s="17"/>
      <c r="CT74" s="17"/>
      <c r="CU74" s="17"/>
      <c r="CV74" s="12"/>
      <c r="CW74" s="17"/>
      <c r="CX74" s="17"/>
      <c r="CY74" s="17"/>
      <c r="CZ74" s="17"/>
      <c r="DA74" s="17"/>
      <c r="DB74" s="17"/>
      <c r="DC74" s="17"/>
      <c r="DD74" s="17"/>
      <c r="DE74" s="12"/>
      <c r="DF74" s="17"/>
      <c r="DG74" s="17"/>
      <c r="DH74" s="17"/>
      <c r="DI74" s="36">
        <f>(AT74+SUM(AU74:AX74)*4+SUM(AY74:CC74)-SUM(CD74:DH74))</f>
        <v>0</v>
      </c>
      <c r="DJ74" s="12">
        <f t="shared" si="279"/>
        <v>0</v>
      </c>
      <c r="DK74" s="12">
        <f t="shared" si="259"/>
        <v>0</v>
      </c>
      <c r="DL74" s="12">
        <f t="shared" si="280"/>
        <v>0</v>
      </c>
      <c r="DM74" s="12">
        <f t="shared" si="260"/>
        <v>0</v>
      </c>
      <c r="DN74" s="12">
        <f t="shared" si="281"/>
        <v>0</v>
      </c>
      <c r="DO74" s="12">
        <f t="shared" si="261"/>
        <v>0</v>
      </c>
      <c r="DP74" s="12">
        <f t="shared" si="282"/>
        <v>0</v>
      </c>
      <c r="DQ74" s="12">
        <f t="shared" si="262"/>
        <v>0</v>
      </c>
      <c r="DR74" s="12">
        <f t="shared" si="283"/>
        <v>0</v>
      </c>
      <c r="DS74" s="12">
        <f t="shared" si="263"/>
        <v>0</v>
      </c>
      <c r="DT74" s="12">
        <f t="shared" si="284"/>
        <v>0</v>
      </c>
    </row>
    <row r="75" spans="1:124" ht="14.25" customHeight="1">
      <c r="A75" s="30">
        <v>71</v>
      </c>
      <c r="B75" s="19" t="s">
        <v>110</v>
      </c>
      <c r="C75" s="14"/>
      <c r="D75" s="95"/>
      <c r="E75" s="56">
        <v>0</v>
      </c>
      <c r="F75" s="103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2">
        <f t="shared" si="226"/>
        <v>0</v>
      </c>
      <c r="AP75" s="17">
        <f>AO75*6</f>
        <v>0</v>
      </c>
      <c r="AQ75" s="12">
        <f t="shared" si="227"/>
        <v>0</v>
      </c>
      <c r="AR75" s="17"/>
      <c r="AS75" s="126">
        <f t="shared" si="275"/>
        <v>0</v>
      </c>
      <c r="AT75" s="56">
        <v>0</v>
      </c>
      <c r="AU75" s="50"/>
      <c r="AV75" s="12"/>
      <c r="AW75" s="12"/>
      <c r="AX75" s="12"/>
      <c r="AY75" s="12">
        <f>J75*6</f>
        <v>0</v>
      </c>
      <c r="AZ75" s="12">
        <f t="shared" ref="AZ75:CC75" si="285">K75*6</f>
        <v>0</v>
      </c>
      <c r="BA75" s="12">
        <f t="shared" si="285"/>
        <v>0</v>
      </c>
      <c r="BB75" s="12">
        <f t="shared" si="285"/>
        <v>0</v>
      </c>
      <c r="BC75" s="12">
        <f t="shared" si="285"/>
        <v>0</v>
      </c>
      <c r="BD75" s="12">
        <f t="shared" si="285"/>
        <v>0</v>
      </c>
      <c r="BE75" s="12">
        <f t="shared" si="285"/>
        <v>0</v>
      </c>
      <c r="BF75" s="12">
        <f t="shared" si="285"/>
        <v>0</v>
      </c>
      <c r="BG75" s="12">
        <f t="shared" si="285"/>
        <v>0</v>
      </c>
      <c r="BH75" s="12">
        <f t="shared" si="285"/>
        <v>0</v>
      </c>
      <c r="BI75" s="12">
        <f t="shared" si="285"/>
        <v>0</v>
      </c>
      <c r="BJ75" s="12">
        <f t="shared" si="285"/>
        <v>0</v>
      </c>
      <c r="BK75" s="12">
        <f t="shared" si="285"/>
        <v>0</v>
      </c>
      <c r="BL75" s="12">
        <f t="shared" si="285"/>
        <v>0</v>
      </c>
      <c r="BM75" s="12">
        <f t="shared" si="285"/>
        <v>0</v>
      </c>
      <c r="BN75" s="12">
        <f t="shared" si="285"/>
        <v>0</v>
      </c>
      <c r="BO75" s="12">
        <f t="shared" si="285"/>
        <v>0</v>
      </c>
      <c r="BP75" s="12">
        <f t="shared" si="285"/>
        <v>0</v>
      </c>
      <c r="BQ75" s="12">
        <f t="shared" si="285"/>
        <v>0</v>
      </c>
      <c r="BR75" s="12">
        <f t="shared" si="285"/>
        <v>0</v>
      </c>
      <c r="BS75" s="12">
        <f t="shared" si="285"/>
        <v>0</v>
      </c>
      <c r="BT75" s="12">
        <f t="shared" si="285"/>
        <v>0</v>
      </c>
      <c r="BU75" s="12">
        <f t="shared" si="285"/>
        <v>0</v>
      </c>
      <c r="BV75" s="12">
        <f t="shared" si="285"/>
        <v>0</v>
      </c>
      <c r="BW75" s="12">
        <f t="shared" si="285"/>
        <v>0</v>
      </c>
      <c r="BX75" s="12">
        <f t="shared" si="285"/>
        <v>0</v>
      </c>
      <c r="BY75" s="12">
        <f t="shared" si="285"/>
        <v>0</v>
      </c>
      <c r="BZ75" s="12">
        <f t="shared" si="285"/>
        <v>0</v>
      </c>
      <c r="CA75" s="12">
        <f t="shared" si="285"/>
        <v>0</v>
      </c>
      <c r="CB75" s="12">
        <f t="shared" si="285"/>
        <v>0</v>
      </c>
      <c r="CC75" s="12">
        <f t="shared" si="285"/>
        <v>0</v>
      </c>
      <c r="CD75" s="12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2"/>
      <c r="CQ75" s="17"/>
      <c r="CR75" s="17"/>
      <c r="CS75" s="17"/>
      <c r="CT75" s="17"/>
      <c r="CU75" s="17"/>
      <c r="CV75" s="12"/>
      <c r="CW75" s="17"/>
      <c r="CX75" s="17"/>
      <c r="CY75" s="17"/>
      <c r="CZ75" s="17"/>
      <c r="DA75" s="17"/>
      <c r="DB75" s="17"/>
      <c r="DC75" s="17"/>
      <c r="DD75" s="17"/>
      <c r="DE75" s="12"/>
      <c r="DF75" s="17"/>
      <c r="DG75" s="17"/>
      <c r="DH75" s="17"/>
      <c r="DI75" s="36">
        <f>(AT75+SUM(AU75:AX75)*6+SUM(AY75:CC75)-SUM(CD75:DH75))</f>
        <v>0</v>
      </c>
      <c r="DJ75" s="12">
        <f>DI75*6</f>
        <v>0</v>
      </c>
      <c r="DK75" s="12">
        <f t="shared" si="259"/>
        <v>0</v>
      </c>
      <c r="DL75" s="12">
        <f>DK75*6</f>
        <v>0</v>
      </c>
      <c r="DM75" s="12">
        <f t="shared" si="260"/>
        <v>0</v>
      </c>
      <c r="DN75" s="12">
        <f>DM75*6</f>
        <v>0</v>
      </c>
      <c r="DO75" s="12">
        <f t="shared" si="261"/>
        <v>0</v>
      </c>
      <c r="DP75" s="12">
        <f>DO75*6</f>
        <v>0</v>
      </c>
      <c r="DQ75" s="12">
        <f t="shared" si="262"/>
        <v>0</v>
      </c>
      <c r="DR75" s="12">
        <f>DQ75*6</f>
        <v>0</v>
      </c>
      <c r="DS75" s="12">
        <f t="shared" si="263"/>
        <v>0</v>
      </c>
      <c r="DT75" s="12">
        <f>DS75*6</f>
        <v>0</v>
      </c>
    </row>
    <row r="76" spans="1:124" ht="14.25" customHeight="1">
      <c r="A76" s="30">
        <v>72</v>
      </c>
      <c r="B76" s="67" t="s">
        <v>363</v>
      </c>
      <c r="C76" s="15" t="s">
        <v>32</v>
      </c>
      <c r="D76" s="95"/>
      <c r="E76" s="56">
        <v>0</v>
      </c>
      <c r="F76" s="103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2">
        <f t="shared" si="226"/>
        <v>0</v>
      </c>
      <c r="AP76" s="17">
        <f>AO76*3</f>
        <v>0</v>
      </c>
      <c r="AQ76" s="12">
        <f t="shared" si="227"/>
        <v>78</v>
      </c>
      <c r="AR76" s="40"/>
      <c r="AS76" s="126">
        <f t="shared" si="275"/>
        <v>26</v>
      </c>
      <c r="AT76" s="56">
        <v>9</v>
      </c>
      <c r="AU76" s="50">
        <v>2</v>
      </c>
      <c r="AV76" s="12"/>
      <c r="AW76" s="12"/>
      <c r="AX76" s="12"/>
      <c r="AY76" s="12">
        <f>J76*3</f>
        <v>0</v>
      </c>
      <c r="AZ76" s="12">
        <f t="shared" ref="AZ76:CC76" si="286">K76*3</f>
        <v>0</v>
      </c>
      <c r="BA76" s="12">
        <f t="shared" si="286"/>
        <v>0</v>
      </c>
      <c r="BB76" s="12">
        <f t="shared" si="286"/>
        <v>0</v>
      </c>
      <c r="BC76" s="12">
        <f t="shared" si="286"/>
        <v>0</v>
      </c>
      <c r="BD76" s="12">
        <f t="shared" si="286"/>
        <v>0</v>
      </c>
      <c r="BE76" s="12">
        <f t="shared" si="286"/>
        <v>0</v>
      </c>
      <c r="BF76" s="12">
        <f t="shared" si="286"/>
        <v>0</v>
      </c>
      <c r="BG76" s="12">
        <f t="shared" si="286"/>
        <v>0</v>
      </c>
      <c r="BH76" s="12">
        <f t="shared" si="286"/>
        <v>0</v>
      </c>
      <c r="BI76" s="12">
        <f t="shared" si="286"/>
        <v>0</v>
      </c>
      <c r="BJ76" s="12">
        <f t="shared" si="286"/>
        <v>0</v>
      </c>
      <c r="BK76" s="12">
        <f t="shared" si="286"/>
        <v>0</v>
      </c>
      <c r="BL76" s="12">
        <f t="shared" si="286"/>
        <v>0</v>
      </c>
      <c r="BM76" s="12">
        <f t="shared" si="286"/>
        <v>0</v>
      </c>
      <c r="BN76" s="12">
        <f t="shared" si="286"/>
        <v>0</v>
      </c>
      <c r="BO76" s="12">
        <f t="shared" si="286"/>
        <v>0</v>
      </c>
      <c r="BP76" s="12">
        <f t="shared" si="286"/>
        <v>0</v>
      </c>
      <c r="BQ76" s="12">
        <f t="shared" si="286"/>
        <v>0</v>
      </c>
      <c r="BR76" s="12">
        <f t="shared" si="286"/>
        <v>0</v>
      </c>
      <c r="BS76" s="12">
        <f t="shared" si="286"/>
        <v>0</v>
      </c>
      <c r="BT76" s="12">
        <f t="shared" si="286"/>
        <v>0</v>
      </c>
      <c r="BU76" s="12">
        <f t="shared" si="286"/>
        <v>0</v>
      </c>
      <c r="BV76" s="12">
        <f t="shared" si="286"/>
        <v>0</v>
      </c>
      <c r="BW76" s="12">
        <f t="shared" si="286"/>
        <v>0</v>
      </c>
      <c r="BX76" s="12">
        <f t="shared" si="286"/>
        <v>0</v>
      </c>
      <c r="BY76" s="12">
        <f t="shared" si="286"/>
        <v>0</v>
      </c>
      <c r="BZ76" s="12">
        <f t="shared" si="286"/>
        <v>0</v>
      </c>
      <c r="CA76" s="12">
        <f t="shared" si="286"/>
        <v>0</v>
      </c>
      <c r="CB76" s="12">
        <f t="shared" si="286"/>
        <v>0</v>
      </c>
      <c r="CC76" s="12">
        <f t="shared" si="286"/>
        <v>0</v>
      </c>
      <c r="CD76" s="12"/>
      <c r="CE76" s="17"/>
      <c r="CF76" s="17"/>
      <c r="CG76" s="17">
        <v>2</v>
      </c>
      <c r="CH76" s="17"/>
      <c r="CI76" s="17"/>
      <c r="CJ76" s="17"/>
      <c r="CK76" s="17"/>
      <c r="CL76" s="17"/>
      <c r="CM76" s="17"/>
      <c r="CN76" s="17">
        <v>1</v>
      </c>
      <c r="CO76" s="17"/>
      <c r="CP76" s="12"/>
      <c r="CQ76" s="17"/>
      <c r="CR76" s="17"/>
      <c r="CS76" s="17"/>
      <c r="CT76" s="17"/>
      <c r="CU76" s="17"/>
      <c r="CV76" s="12"/>
      <c r="CW76" s="17"/>
      <c r="CX76" s="17"/>
      <c r="CY76" s="17"/>
      <c r="CZ76" s="17"/>
      <c r="DA76" s="17"/>
      <c r="DB76" s="17"/>
      <c r="DC76" s="17"/>
      <c r="DD76" s="17"/>
      <c r="DE76" s="12"/>
      <c r="DF76" s="17"/>
      <c r="DG76" s="17"/>
      <c r="DH76" s="17"/>
      <c r="DI76" s="36">
        <f>(AT76+SUM(AU76:AX76)*10+SUM(AY76:CC76)-SUM(CD76:DH76))</f>
        <v>26</v>
      </c>
      <c r="DJ76" s="12">
        <f>DI76*3</f>
        <v>78</v>
      </c>
      <c r="DK76" s="12">
        <f t="shared" si="259"/>
        <v>2</v>
      </c>
      <c r="DL76" s="12">
        <f>DK76*3</f>
        <v>6</v>
      </c>
      <c r="DM76" s="12">
        <f t="shared" si="260"/>
        <v>1</v>
      </c>
      <c r="DN76" s="12">
        <f>DM76*3</f>
        <v>3</v>
      </c>
      <c r="DO76" s="12">
        <f t="shared" si="261"/>
        <v>0</v>
      </c>
      <c r="DP76" s="12">
        <f>DO76*3</f>
        <v>0</v>
      </c>
      <c r="DQ76" s="12">
        <f t="shared" si="262"/>
        <v>0</v>
      </c>
      <c r="DR76" s="12">
        <f>DQ76*3</f>
        <v>0</v>
      </c>
      <c r="DS76" s="12">
        <f t="shared" si="263"/>
        <v>3</v>
      </c>
      <c r="DT76" s="12">
        <f>DS76*3</f>
        <v>9</v>
      </c>
    </row>
    <row r="77" spans="1:124" ht="14.25" customHeight="1">
      <c r="A77" s="30">
        <v>73</v>
      </c>
      <c r="B77" s="37" t="s">
        <v>111</v>
      </c>
      <c r="C77" s="14"/>
      <c r="D77" s="95"/>
      <c r="E77" s="56">
        <v>0</v>
      </c>
      <c r="F77" s="103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2">
        <f t="shared" si="226"/>
        <v>0</v>
      </c>
      <c r="AP77" s="17">
        <f>AO77*6</f>
        <v>0</v>
      </c>
      <c r="AQ77" s="12">
        <f t="shared" si="227"/>
        <v>0</v>
      </c>
      <c r="AR77" s="17"/>
      <c r="AS77" s="126">
        <f t="shared" si="275"/>
        <v>0</v>
      </c>
      <c r="AT77" s="56">
        <v>0</v>
      </c>
      <c r="AU77" s="50"/>
      <c r="AV77" s="12"/>
      <c r="AW77" s="12"/>
      <c r="AX77" s="12"/>
      <c r="AY77" s="12">
        <f>J77*6</f>
        <v>0</v>
      </c>
      <c r="AZ77" s="12">
        <f t="shared" ref="AZ77:CC77" si="287">K77*6</f>
        <v>0</v>
      </c>
      <c r="BA77" s="12">
        <f t="shared" si="287"/>
        <v>0</v>
      </c>
      <c r="BB77" s="12">
        <f t="shared" si="287"/>
        <v>0</v>
      </c>
      <c r="BC77" s="12">
        <f t="shared" si="287"/>
        <v>0</v>
      </c>
      <c r="BD77" s="12">
        <f t="shared" si="287"/>
        <v>0</v>
      </c>
      <c r="BE77" s="12">
        <f t="shared" si="287"/>
        <v>0</v>
      </c>
      <c r="BF77" s="12">
        <f t="shared" si="287"/>
        <v>0</v>
      </c>
      <c r="BG77" s="12">
        <f t="shared" si="287"/>
        <v>0</v>
      </c>
      <c r="BH77" s="12">
        <f t="shared" si="287"/>
        <v>0</v>
      </c>
      <c r="BI77" s="12">
        <f t="shared" si="287"/>
        <v>0</v>
      </c>
      <c r="BJ77" s="12">
        <f t="shared" si="287"/>
        <v>0</v>
      </c>
      <c r="BK77" s="12">
        <f t="shared" si="287"/>
        <v>0</v>
      </c>
      <c r="BL77" s="12">
        <f t="shared" si="287"/>
        <v>0</v>
      </c>
      <c r="BM77" s="12">
        <f t="shared" si="287"/>
        <v>0</v>
      </c>
      <c r="BN77" s="12">
        <f t="shared" si="287"/>
        <v>0</v>
      </c>
      <c r="BO77" s="12">
        <f t="shared" si="287"/>
        <v>0</v>
      </c>
      <c r="BP77" s="12">
        <f t="shared" si="287"/>
        <v>0</v>
      </c>
      <c r="BQ77" s="12">
        <f t="shared" si="287"/>
        <v>0</v>
      </c>
      <c r="BR77" s="12">
        <f t="shared" si="287"/>
        <v>0</v>
      </c>
      <c r="BS77" s="12">
        <f t="shared" si="287"/>
        <v>0</v>
      </c>
      <c r="BT77" s="12">
        <f t="shared" si="287"/>
        <v>0</v>
      </c>
      <c r="BU77" s="12">
        <f t="shared" si="287"/>
        <v>0</v>
      </c>
      <c r="BV77" s="12">
        <f t="shared" si="287"/>
        <v>0</v>
      </c>
      <c r="BW77" s="12">
        <f t="shared" si="287"/>
        <v>0</v>
      </c>
      <c r="BX77" s="12">
        <f t="shared" si="287"/>
        <v>0</v>
      </c>
      <c r="BY77" s="12">
        <f t="shared" si="287"/>
        <v>0</v>
      </c>
      <c r="BZ77" s="12">
        <f t="shared" si="287"/>
        <v>0</v>
      </c>
      <c r="CA77" s="12">
        <f t="shared" si="287"/>
        <v>0</v>
      </c>
      <c r="CB77" s="12">
        <f t="shared" si="287"/>
        <v>0</v>
      </c>
      <c r="CC77" s="12">
        <f t="shared" si="287"/>
        <v>0</v>
      </c>
      <c r="CD77" s="12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2"/>
      <c r="CQ77" s="17"/>
      <c r="CR77" s="17"/>
      <c r="CS77" s="17"/>
      <c r="CT77" s="17"/>
      <c r="CU77" s="17"/>
      <c r="CV77" s="12"/>
      <c r="CW77" s="17"/>
      <c r="CX77" s="17"/>
      <c r="CY77" s="17"/>
      <c r="CZ77" s="17"/>
      <c r="DA77" s="17"/>
      <c r="DB77" s="17"/>
      <c r="DC77" s="17"/>
      <c r="DD77" s="17"/>
      <c r="DE77" s="12"/>
      <c r="DF77" s="17"/>
      <c r="DG77" s="17"/>
      <c r="DH77" s="17"/>
      <c r="DI77" s="36">
        <f>(AT77+SUM(AU77:AX77)*6+SUM(AY77:CC77)-SUM(CD77:DH77))</f>
        <v>0</v>
      </c>
      <c r="DJ77" s="12">
        <f>DI77*6</f>
        <v>0</v>
      </c>
      <c r="DK77" s="12">
        <f t="shared" si="259"/>
        <v>0</v>
      </c>
      <c r="DL77" s="12">
        <f>DK77*6</f>
        <v>0</v>
      </c>
      <c r="DM77" s="12">
        <f t="shared" si="260"/>
        <v>0</v>
      </c>
      <c r="DN77" s="12">
        <f>DM77*6</f>
        <v>0</v>
      </c>
      <c r="DO77" s="12">
        <f t="shared" si="261"/>
        <v>0</v>
      </c>
      <c r="DP77" s="12">
        <f>DO77*6</f>
        <v>0</v>
      </c>
      <c r="DQ77" s="12">
        <f t="shared" si="262"/>
        <v>0</v>
      </c>
      <c r="DR77" s="12">
        <f>DQ77*6</f>
        <v>0</v>
      </c>
      <c r="DS77" s="12">
        <f t="shared" si="263"/>
        <v>0</v>
      </c>
      <c r="DT77" s="12">
        <f>DS77*6</f>
        <v>0</v>
      </c>
    </row>
    <row r="78" spans="1:124" ht="14.25" customHeight="1">
      <c r="A78" s="12">
        <v>74</v>
      </c>
      <c r="B78" s="37" t="s">
        <v>112</v>
      </c>
      <c r="C78" s="14"/>
      <c r="D78" s="95"/>
      <c r="E78" s="56">
        <v>2</v>
      </c>
      <c r="F78" s="103"/>
      <c r="G78" s="17">
        <v>4</v>
      </c>
      <c r="H78" s="17"/>
      <c r="I78" s="17"/>
      <c r="J78" s="17"/>
      <c r="K78" s="17"/>
      <c r="L78" s="17"/>
      <c r="M78" s="17"/>
      <c r="N78" s="17"/>
      <c r="O78" s="17"/>
      <c r="P78" s="17"/>
      <c r="Q78" s="17">
        <v>2</v>
      </c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2">
        <f t="shared" si="226"/>
        <v>4</v>
      </c>
      <c r="AP78" s="17">
        <f>AO78*3790</f>
        <v>15160</v>
      </c>
      <c r="AQ78" s="12">
        <f t="shared" si="227"/>
        <v>22740</v>
      </c>
      <c r="AR78" s="20"/>
      <c r="AS78" s="126">
        <f t="shared" si="275"/>
        <v>2</v>
      </c>
      <c r="AT78" s="56">
        <v>0</v>
      </c>
      <c r="AU78" s="50"/>
      <c r="AV78" s="12"/>
      <c r="AW78" s="12"/>
      <c r="AX78" s="12"/>
      <c r="AY78" s="12">
        <f t="shared" si="228"/>
        <v>0</v>
      </c>
      <c r="AZ78" s="12">
        <f t="shared" si="229"/>
        <v>0</v>
      </c>
      <c r="BA78" s="12">
        <f t="shared" si="230"/>
        <v>0</v>
      </c>
      <c r="BB78" s="12">
        <f t="shared" si="231"/>
        <v>0</v>
      </c>
      <c r="BC78" s="12">
        <f t="shared" si="232"/>
        <v>0</v>
      </c>
      <c r="BD78" s="12">
        <f t="shared" si="233"/>
        <v>0</v>
      </c>
      <c r="BE78" s="12">
        <f t="shared" si="234"/>
        <v>0</v>
      </c>
      <c r="BF78" s="12">
        <f t="shared" si="235"/>
        <v>2</v>
      </c>
      <c r="BG78" s="12">
        <f t="shared" si="236"/>
        <v>0</v>
      </c>
      <c r="BH78" s="12">
        <f t="shared" si="237"/>
        <v>0</v>
      </c>
      <c r="BI78" s="12">
        <f t="shared" si="238"/>
        <v>0</v>
      </c>
      <c r="BJ78" s="12">
        <f t="shared" si="239"/>
        <v>0</v>
      </c>
      <c r="BK78" s="12">
        <f t="shared" si="240"/>
        <v>0</v>
      </c>
      <c r="BL78" s="12">
        <f t="shared" si="241"/>
        <v>0</v>
      </c>
      <c r="BM78" s="12">
        <f t="shared" si="242"/>
        <v>0</v>
      </c>
      <c r="BN78" s="12">
        <f t="shared" si="243"/>
        <v>0</v>
      </c>
      <c r="BO78" s="12">
        <f t="shared" si="244"/>
        <v>0</v>
      </c>
      <c r="BP78" s="12">
        <f t="shared" si="245"/>
        <v>0</v>
      </c>
      <c r="BQ78" s="12">
        <f t="shared" si="246"/>
        <v>0</v>
      </c>
      <c r="BR78" s="12">
        <f t="shared" si="247"/>
        <v>0</v>
      </c>
      <c r="BS78" s="12">
        <f t="shared" si="248"/>
        <v>0</v>
      </c>
      <c r="BT78" s="12">
        <f t="shared" si="249"/>
        <v>0</v>
      </c>
      <c r="BU78" s="12">
        <f t="shared" si="250"/>
        <v>0</v>
      </c>
      <c r="BV78" s="12">
        <f t="shared" si="251"/>
        <v>0</v>
      </c>
      <c r="BW78" s="12">
        <f t="shared" si="252"/>
        <v>0</v>
      </c>
      <c r="BX78" s="12">
        <f t="shared" si="253"/>
        <v>0</v>
      </c>
      <c r="BY78" s="12">
        <f t="shared" si="254"/>
        <v>0</v>
      </c>
      <c r="BZ78" s="12">
        <f t="shared" si="255"/>
        <v>0</v>
      </c>
      <c r="CA78" s="12">
        <f t="shared" si="256"/>
        <v>0</v>
      </c>
      <c r="CB78" s="12">
        <f t="shared" si="257"/>
        <v>0</v>
      </c>
      <c r="CC78" s="12">
        <f t="shared" si="258"/>
        <v>0</v>
      </c>
      <c r="CD78" s="12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2"/>
      <c r="CQ78" s="17"/>
      <c r="CR78" s="17"/>
      <c r="CS78" s="17"/>
      <c r="CT78" s="17"/>
      <c r="CU78" s="17"/>
      <c r="CV78" s="12"/>
      <c r="CW78" s="17"/>
      <c r="CX78" s="17"/>
      <c r="CY78" s="17"/>
      <c r="CZ78" s="17"/>
      <c r="DA78" s="17"/>
      <c r="DB78" s="17"/>
      <c r="DC78" s="17"/>
      <c r="DD78" s="17"/>
      <c r="DE78" s="12"/>
      <c r="DF78" s="17"/>
      <c r="DG78" s="17"/>
      <c r="DH78" s="17"/>
      <c r="DI78" s="36">
        <f t="shared" ref="DI78:DI85" si="288">(AT78+SUM(AU78:AX78)+SUM(AY78:CC78)-SUM(CD78:DH78))</f>
        <v>2</v>
      </c>
      <c r="DJ78" s="12">
        <f>DI78*3790</f>
        <v>7580</v>
      </c>
      <c r="DK78" s="12">
        <f t="shared" si="259"/>
        <v>0</v>
      </c>
      <c r="DL78" s="12">
        <f>DK78*3790</f>
        <v>0</v>
      </c>
      <c r="DM78" s="12">
        <f t="shared" si="260"/>
        <v>0</v>
      </c>
      <c r="DN78" s="12">
        <f>DM78*3790</f>
        <v>0</v>
      </c>
      <c r="DO78" s="12">
        <f t="shared" si="261"/>
        <v>0</v>
      </c>
      <c r="DP78" s="12">
        <f>DO78*3790</f>
        <v>0</v>
      </c>
      <c r="DQ78" s="12">
        <f t="shared" si="262"/>
        <v>0</v>
      </c>
      <c r="DR78" s="12">
        <f>DQ78*3790</f>
        <v>0</v>
      </c>
      <c r="DS78" s="12">
        <f t="shared" si="263"/>
        <v>0</v>
      </c>
      <c r="DT78" s="12">
        <f>DS78*3790</f>
        <v>0</v>
      </c>
    </row>
    <row r="79" spans="1:124" ht="14.25" customHeight="1">
      <c r="A79" s="12">
        <v>75</v>
      </c>
      <c r="B79" s="19" t="s">
        <v>113</v>
      </c>
      <c r="C79" s="14"/>
      <c r="D79" s="95"/>
      <c r="E79" s="56">
        <v>5</v>
      </c>
      <c r="F79" s="103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2">
        <f t="shared" si="226"/>
        <v>5</v>
      </c>
      <c r="AP79" s="17">
        <f>AO79*3970</f>
        <v>19850</v>
      </c>
      <c r="AQ79" s="12">
        <f t="shared" si="227"/>
        <v>19850</v>
      </c>
      <c r="AR79" s="40" t="s">
        <v>299</v>
      </c>
      <c r="AS79" s="126">
        <f t="shared" si="275"/>
        <v>0</v>
      </c>
      <c r="AT79" s="56">
        <v>0</v>
      </c>
      <c r="AU79" s="50"/>
      <c r="AV79" s="12"/>
      <c r="AW79" s="12"/>
      <c r="AX79" s="12"/>
      <c r="AY79" s="12">
        <f t="shared" si="228"/>
        <v>0</v>
      </c>
      <c r="AZ79" s="12">
        <f t="shared" si="229"/>
        <v>0</v>
      </c>
      <c r="BA79" s="12">
        <f t="shared" si="230"/>
        <v>0</v>
      </c>
      <c r="BB79" s="12">
        <f t="shared" si="231"/>
        <v>0</v>
      </c>
      <c r="BC79" s="12">
        <f t="shared" si="232"/>
        <v>0</v>
      </c>
      <c r="BD79" s="12">
        <f t="shared" si="233"/>
        <v>0</v>
      </c>
      <c r="BE79" s="12">
        <f t="shared" si="234"/>
        <v>0</v>
      </c>
      <c r="BF79" s="12">
        <f t="shared" si="235"/>
        <v>0</v>
      </c>
      <c r="BG79" s="12">
        <f t="shared" si="236"/>
        <v>0</v>
      </c>
      <c r="BH79" s="12">
        <f t="shared" si="237"/>
        <v>0</v>
      </c>
      <c r="BI79" s="12">
        <f t="shared" si="238"/>
        <v>0</v>
      </c>
      <c r="BJ79" s="12">
        <f t="shared" si="239"/>
        <v>0</v>
      </c>
      <c r="BK79" s="12">
        <f t="shared" si="240"/>
        <v>0</v>
      </c>
      <c r="BL79" s="12">
        <f t="shared" si="241"/>
        <v>0</v>
      </c>
      <c r="BM79" s="12">
        <f t="shared" si="242"/>
        <v>0</v>
      </c>
      <c r="BN79" s="12">
        <f t="shared" si="243"/>
        <v>0</v>
      </c>
      <c r="BO79" s="12">
        <f t="shared" si="244"/>
        <v>0</v>
      </c>
      <c r="BP79" s="12">
        <f t="shared" si="245"/>
        <v>0</v>
      </c>
      <c r="BQ79" s="12">
        <f t="shared" si="246"/>
        <v>0</v>
      </c>
      <c r="BR79" s="12">
        <f t="shared" si="247"/>
        <v>0</v>
      </c>
      <c r="BS79" s="12">
        <f t="shared" si="248"/>
        <v>0</v>
      </c>
      <c r="BT79" s="12">
        <f t="shared" si="249"/>
        <v>0</v>
      </c>
      <c r="BU79" s="12">
        <f t="shared" si="250"/>
        <v>0</v>
      </c>
      <c r="BV79" s="12">
        <f t="shared" si="251"/>
        <v>0</v>
      </c>
      <c r="BW79" s="12">
        <f t="shared" si="252"/>
        <v>0</v>
      </c>
      <c r="BX79" s="12">
        <f t="shared" si="253"/>
        <v>0</v>
      </c>
      <c r="BY79" s="12">
        <f t="shared" si="254"/>
        <v>0</v>
      </c>
      <c r="BZ79" s="12">
        <f t="shared" si="255"/>
        <v>0</v>
      </c>
      <c r="CA79" s="12">
        <f t="shared" si="256"/>
        <v>0</v>
      </c>
      <c r="CB79" s="12">
        <f t="shared" si="257"/>
        <v>0</v>
      </c>
      <c r="CC79" s="12">
        <f t="shared" si="258"/>
        <v>0</v>
      </c>
      <c r="CD79" s="12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2"/>
      <c r="CQ79" s="17"/>
      <c r="CR79" s="17"/>
      <c r="CS79" s="17"/>
      <c r="CT79" s="17"/>
      <c r="CU79" s="17"/>
      <c r="CV79" s="12"/>
      <c r="CW79" s="17"/>
      <c r="CX79" s="17"/>
      <c r="CY79" s="17"/>
      <c r="CZ79" s="17"/>
      <c r="DA79" s="17"/>
      <c r="DB79" s="17"/>
      <c r="DC79" s="17"/>
      <c r="DD79" s="17"/>
      <c r="DE79" s="12"/>
      <c r="DF79" s="17"/>
      <c r="DG79" s="17"/>
      <c r="DH79" s="17"/>
      <c r="DI79" s="36">
        <f t="shared" si="288"/>
        <v>0</v>
      </c>
      <c r="DJ79" s="12">
        <f>DI79*3970</f>
        <v>0</v>
      </c>
      <c r="DK79" s="12">
        <f t="shared" si="259"/>
        <v>0</v>
      </c>
      <c r="DL79" s="12">
        <f>DK79*3970</f>
        <v>0</v>
      </c>
      <c r="DM79" s="12">
        <f t="shared" si="260"/>
        <v>0</v>
      </c>
      <c r="DN79" s="12">
        <f>DM79*3970</f>
        <v>0</v>
      </c>
      <c r="DO79" s="12">
        <f t="shared" si="261"/>
        <v>0</v>
      </c>
      <c r="DP79" s="12">
        <f>DO79*3970</f>
        <v>0</v>
      </c>
      <c r="DQ79" s="12">
        <f t="shared" si="262"/>
        <v>0</v>
      </c>
      <c r="DR79" s="12">
        <f>DQ79*3970</f>
        <v>0</v>
      </c>
      <c r="DS79" s="12">
        <f t="shared" si="263"/>
        <v>0</v>
      </c>
      <c r="DT79" s="12">
        <f>DS79*3970</f>
        <v>0</v>
      </c>
    </row>
    <row r="80" spans="1:124" ht="14.25" customHeight="1">
      <c r="A80" s="12">
        <v>76</v>
      </c>
      <c r="B80" s="19" t="s">
        <v>114</v>
      </c>
      <c r="C80" s="14"/>
      <c r="D80" s="95"/>
      <c r="E80" s="56">
        <v>0</v>
      </c>
      <c r="F80" s="103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2">
        <f t="shared" si="226"/>
        <v>0</v>
      </c>
      <c r="AP80" s="17">
        <f>AO80*22700</f>
        <v>0</v>
      </c>
      <c r="AQ80" s="12">
        <f t="shared" si="227"/>
        <v>0</v>
      </c>
      <c r="AR80" s="40" t="s">
        <v>300</v>
      </c>
      <c r="AS80" s="126">
        <f t="shared" si="275"/>
        <v>0</v>
      </c>
      <c r="AT80" s="56">
        <v>0</v>
      </c>
      <c r="AU80" s="50"/>
      <c r="AV80" s="12"/>
      <c r="AW80" s="12"/>
      <c r="AX80" s="12"/>
      <c r="AY80" s="12">
        <f t="shared" si="228"/>
        <v>0</v>
      </c>
      <c r="AZ80" s="12">
        <f t="shared" si="229"/>
        <v>0</v>
      </c>
      <c r="BA80" s="12">
        <f t="shared" si="230"/>
        <v>0</v>
      </c>
      <c r="BB80" s="12">
        <f t="shared" si="231"/>
        <v>0</v>
      </c>
      <c r="BC80" s="12">
        <f t="shared" si="232"/>
        <v>0</v>
      </c>
      <c r="BD80" s="12">
        <f t="shared" si="233"/>
        <v>0</v>
      </c>
      <c r="BE80" s="12">
        <f t="shared" si="234"/>
        <v>0</v>
      </c>
      <c r="BF80" s="12">
        <f t="shared" si="235"/>
        <v>0</v>
      </c>
      <c r="BG80" s="12">
        <f t="shared" si="236"/>
        <v>0</v>
      </c>
      <c r="BH80" s="12">
        <f t="shared" si="237"/>
        <v>0</v>
      </c>
      <c r="BI80" s="12">
        <f t="shared" si="238"/>
        <v>0</v>
      </c>
      <c r="BJ80" s="12">
        <f t="shared" si="239"/>
        <v>0</v>
      </c>
      <c r="BK80" s="12">
        <f t="shared" si="240"/>
        <v>0</v>
      </c>
      <c r="BL80" s="12">
        <f t="shared" si="241"/>
        <v>0</v>
      </c>
      <c r="BM80" s="12">
        <f t="shared" si="242"/>
        <v>0</v>
      </c>
      <c r="BN80" s="12">
        <f t="shared" si="243"/>
        <v>0</v>
      </c>
      <c r="BO80" s="12">
        <f t="shared" si="244"/>
        <v>0</v>
      </c>
      <c r="BP80" s="12">
        <f t="shared" si="245"/>
        <v>0</v>
      </c>
      <c r="BQ80" s="12">
        <f t="shared" si="246"/>
        <v>0</v>
      </c>
      <c r="BR80" s="12">
        <f t="shared" si="247"/>
        <v>0</v>
      </c>
      <c r="BS80" s="12">
        <f t="shared" si="248"/>
        <v>0</v>
      </c>
      <c r="BT80" s="12">
        <f t="shared" si="249"/>
        <v>0</v>
      </c>
      <c r="BU80" s="12">
        <f t="shared" si="250"/>
        <v>0</v>
      </c>
      <c r="BV80" s="12">
        <f t="shared" si="251"/>
        <v>0</v>
      </c>
      <c r="BW80" s="12">
        <f t="shared" si="252"/>
        <v>0</v>
      </c>
      <c r="BX80" s="12">
        <f t="shared" si="253"/>
        <v>0</v>
      </c>
      <c r="BY80" s="12">
        <f t="shared" si="254"/>
        <v>0</v>
      </c>
      <c r="BZ80" s="12">
        <f t="shared" si="255"/>
        <v>0</v>
      </c>
      <c r="CA80" s="12">
        <f t="shared" si="256"/>
        <v>0</v>
      </c>
      <c r="CB80" s="12">
        <f t="shared" si="257"/>
        <v>0</v>
      </c>
      <c r="CC80" s="12">
        <f t="shared" si="258"/>
        <v>0</v>
      </c>
      <c r="CD80" s="12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2"/>
      <c r="CQ80" s="17"/>
      <c r="CR80" s="17"/>
      <c r="CS80" s="17"/>
      <c r="CT80" s="17"/>
      <c r="CU80" s="17"/>
      <c r="CV80" s="12"/>
      <c r="CW80" s="17"/>
      <c r="CX80" s="17"/>
      <c r="CY80" s="17"/>
      <c r="CZ80" s="17"/>
      <c r="DA80" s="17"/>
      <c r="DB80" s="17"/>
      <c r="DC80" s="17"/>
      <c r="DD80" s="17"/>
      <c r="DE80" s="12"/>
      <c r="DF80" s="17"/>
      <c r="DG80" s="17"/>
      <c r="DH80" s="17"/>
      <c r="DI80" s="36">
        <f t="shared" si="288"/>
        <v>0</v>
      </c>
      <c r="DJ80" s="12">
        <f>DI80*22700</f>
        <v>0</v>
      </c>
      <c r="DK80" s="12">
        <f t="shared" si="259"/>
        <v>0</v>
      </c>
      <c r="DL80" s="12">
        <f>DK80*22700</f>
        <v>0</v>
      </c>
      <c r="DM80" s="12">
        <f t="shared" si="260"/>
        <v>0</v>
      </c>
      <c r="DN80" s="12">
        <f>DM80*22700</f>
        <v>0</v>
      </c>
      <c r="DO80" s="12">
        <f t="shared" si="261"/>
        <v>0</v>
      </c>
      <c r="DP80" s="12">
        <f>DO80*22700</f>
        <v>0</v>
      </c>
      <c r="DQ80" s="12">
        <f t="shared" si="262"/>
        <v>0</v>
      </c>
      <c r="DR80" s="12">
        <f>DQ80*22700</f>
        <v>0</v>
      </c>
      <c r="DS80" s="12">
        <f t="shared" si="263"/>
        <v>0</v>
      </c>
      <c r="DT80" s="12">
        <f>DS80*22700</f>
        <v>0</v>
      </c>
    </row>
    <row r="81" spans="1:129" ht="14.25" customHeight="1">
      <c r="A81" s="12">
        <v>77</v>
      </c>
      <c r="B81" s="19" t="s">
        <v>115</v>
      </c>
      <c r="C81" s="14"/>
      <c r="D81" s="95"/>
      <c r="E81" s="56"/>
      <c r="F81" s="103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2"/>
      <c r="AP81" s="17"/>
      <c r="AQ81" s="12"/>
      <c r="AR81" s="17"/>
      <c r="AS81" s="126">
        <f t="shared" si="275"/>
        <v>0</v>
      </c>
      <c r="AT81" s="56">
        <v>0</v>
      </c>
      <c r="AU81" s="50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2"/>
      <c r="CQ81" s="17"/>
      <c r="CR81" s="17"/>
      <c r="CS81" s="17"/>
      <c r="CT81" s="17"/>
      <c r="CU81" s="17"/>
      <c r="CV81" s="12"/>
      <c r="CW81" s="17"/>
      <c r="CX81" s="17"/>
      <c r="CY81" s="17"/>
      <c r="CZ81" s="17"/>
      <c r="DA81" s="17"/>
      <c r="DB81" s="17"/>
      <c r="DC81" s="17"/>
      <c r="DD81" s="17"/>
      <c r="DE81" s="12"/>
      <c r="DF81" s="17"/>
      <c r="DG81" s="17"/>
      <c r="DH81" s="17"/>
      <c r="DI81" s="36">
        <f t="shared" si="288"/>
        <v>0</v>
      </c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22"/>
      <c r="DV81" s="22"/>
      <c r="DW81" s="22"/>
      <c r="DX81" s="22"/>
      <c r="DY81" s="22"/>
    </row>
    <row r="82" spans="1:129" ht="14.25" customHeight="1">
      <c r="A82" s="12">
        <v>78</v>
      </c>
      <c r="B82" s="19" t="s">
        <v>116</v>
      </c>
      <c r="C82" s="14"/>
      <c r="D82" s="95"/>
      <c r="E82" s="56"/>
      <c r="F82" s="103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2"/>
      <c r="AP82" s="17"/>
      <c r="AQ82" s="12"/>
      <c r="AR82" s="17"/>
      <c r="AS82" s="126">
        <f t="shared" si="275"/>
        <v>0</v>
      </c>
      <c r="AT82" s="56">
        <v>0</v>
      </c>
      <c r="AU82" s="50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2"/>
      <c r="CQ82" s="17"/>
      <c r="CR82" s="17"/>
      <c r="CS82" s="17"/>
      <c r="CT82" s="17"/>
      <c r="CU82" s="17"/>
      <c r="CV82" s="12"/>
      <c r="CW82" s="17"/>
      <c r="CX82" s="17"/>
      <c r="CY82" s="17"/>
      <c r="CZ82" s="17"/>
      <c r="DA82" s="17"/>
      <c r="DB82" s="17"/>
      <c r="DC82" s="17"/>
      <c r="DD82" s="17"/>
      <c r="DE82" s="12"/>
      <c r="DF82" s="17"/>
      <c r="DG82" s="17"/>
      <c r="DH82" s="17"/>
      <c r="DI82" s="36">
        <f t="shared" si="288"/>
        <v>0</v>
      </c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22"/>
      <c r="DV82" s="22"/>
      <c r="DW82" s="22"/>
      <c r="DX82" s="22"/>
      <c r="DY82" s="22"/>
    </row>
    <row r="83" spans="1:129" ht="14.25" customHeight="1">
      <c r="A83" s="30">
        <v>79</v>
      </c>
      <c r="B83" s="19" t="s">
        <v>117</v>
      </c>
      <c r="C83" s="15" t="s">
        <v>32</v>
      </c>
      <c r="D83" s="95"/>
      <c r="E83" s="56">
        <v>0</v>
      </c>
      <c r="F83" s="103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2">
        <f t="shared" ref="AO83:AO87" si="289">E83+F83+G83+H83+I83-J83-K83-L83-M83-N83-O83-P83-Q83-R83-S83-T83-U83-V83-W83-X83-Y83-Z83-AA83-AB83-AC83-AD83-AE83-AF83-AG83-AH83-AI83-AJ83-AK83-AL83-AM83-AN83</f>
        <v>0</v>
      </c>
      <c r="AP83" s="17">
        <f>AO83*1000</f>
        <v>0</v>
      </c>
      <c r="AQ83" s="12">
        <f>AP83+DJ83</f>
        <v>3000</v>
      </c>
      <c r="AR83" s="17"/>
      <c r="AS83" s="126">
        <f t="shared" si="275"/>
        <v>3</v>
      </c>
      <c r="AT83" s="56">
        <v>4</v>
      </c>
      <c r="AU83" s="50"/>
      <c r="AV83" s="12"/>
      <c r="AW83" s="12"/>
      <c r="AX83" s="12"/>
      <c r="AY83" s="12">
        <f t="shared" ref="AY83:BH87" si="290">J83</f>
        <v>0</v>
      </c>
      <c r="AZ83" s="12">
        <f t="shared" si="290"/>
        <v>0</v>
      </c>
      <c r="BA83" s="12">
        <f t="shared" si="290"/>
        <v>0</v>
      </c>
      <c r="BB83" s="12">
        <f t="shared" si="290"/>
        <v>0</v>
      </c>
      <c r="BC83" s="12">
        <f t="shared" si="290"/>
        <v>0</v>
      </c>
      <c r="BD83" s="12">
        <f t="shared" si="290"/>
        <v>0</v>
      </c>
      <c r="BE83" s="12">
        <f t="shared" si="290"/>
        <v>0</v>
      </c>
      <c r="BF83" s="12">
        <f t="shared" si="290"/>
        <v>0</v>
      </c>
      <c r="BG83" s="12">
        <f t="shared" si="290"/>
        <v>0</v>
      </c>
      <c r="BH83" s="12">
        <f t="shared" si="290"/>
        <v>0</v>
      </c>
      <c r="BI83" s="12">
        <f t="shared" ref="BI83:BR87" si="291">T83</f>
        <v>0</v>
      </c>
      <c r="BJ83" s="12">
        <f t="shared" si="291"/>
        <v>0</v>
      </c>
      <c r="BK83" s="12">
        <f t="shared" si="291"/>
        <v>0</v>
      </c>
      <c r="BL83" s="12">
        <f t="shared" si="291"/>
        <v>0</v>
      </c>
      <c r="BM83" s="12">
        <f t="shared" si="291"/>
        <v>0</v>
      </c>
      <c r="BN83" s="12">
        <f t="shared" si="291"/>
        <v>0</v>
      </c>
      <c r="BO83" s="12">
        <f t="shared" si="291"/>
        <v>0</v>
      </c>
      <c r="BP83" s="12">
        <f t="shared" si="291"/>
        <v>0</v>
      </c>
      <c r="BQ83" s="12">
        <f t="shared" si="291"/>
        <v>0</v>
      </c>
      <c r="BR83" s="12">
        <f t="shared" si="291"/>
        <v>0</v>
      </c>
      <c r="BS83" s="12">
        <f t="shared" ref="BS83:CB87" si="292">AD83</f>
        <v>0</v>
      </c>
      <c r="BT83" s="12">
        <f t="shared" si="292"/>
        <v>0</v>
      </c>
      <c r="BU83" s="12">
        <f t="shared" si="292"/>
        <v>0</v>
      </c>
      <c r="BV83" s="12">
        <f t="shared" si="292"/>
        <v>0</v>
      </c>
      <c r="BW83" s="12">
        <f t="shared" si="292"/>
        <v>0</v>
      </c>
      <c r="BX83" s="12">
        <f t="shared" si="292"/>
        <v>0</v>
      </c>
      <c r="BY83" s="12">
        <f t="shared" si="292"/>
        <v>0</v>
      </c>
      <c r="BZ83" s="12">
        <f t="shared" si="292"/>
        <v>0</v>
      </c>
      <c r="CA83" s="12">
        <f t="shared" si="292"/>
        <v>0</v>
      </c>
      <c r="CB83" s="12">
        <f t="shared" si="292"/>
        <v>0</v>
      </c>
      <c r="CC83" s="12">
        <f t="shared" ref="CC83:CC87" si="293">AN83</f>
        <v>0</v>
      </c>
      <c r="CD83" s="12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>
        <v>1</v>
      </c>
      <c r="CP83" s="12"/>
      <c r="CQ83" s="17"/>
      <c r="CR83" s="17"/>
      <c r="CS83" s="17"/>
      <c r="CT83" s="17"/>
      <c r="CU83" s="17"/>
      <c r="CV83" s="12"/>
      <c r="CW83" s="17"/>
      <c r="CX83" s="17"/>
      <c r="CY83" s="17"/>
      <c r="CZ83" s="17"/>
      <c r="DA83" s="17"/>
      <c r="DB83" s="17"/>
      <c r="DC83" s="17"/>
      <c r="DD83" s="17"/>
      <c r="DE83" s="12"/>
      <c r="DF83" s="17"/>
      <c r="DG83" s="17"/>
      <c r="DH83" s="17"/>
      <c r="DI83" s="36">
        <f t="shared" si="288"/>
        <v>3</v>
      </c>
      <c r="DJ83" s="12">
        <f>DI83*1000</f>
        <v>3000</v>
      </c>
      <c r="DK83" s="12">
        <f t="shared" ref="DK83:DK88" si="294">SUM(CD83:CJ83)</f>
        <v>0</v>
      </c>
      <c r="DL83" s="12">
        <f>DK83*1000</f>
        <v>0</v>
      </c>
      <c r="DM83" s="12">
        <f t="shared" ref="DM83:DM88" si="295">SUM(CK83:CQ83)</f>
        <v>1</v>
      </c>
      <c r="DN83" s="12">
        <f>DM83*1000</f>
        <v>1000</v>
      </c>
      <c r="DO83" s="12">
        <f t="shared" ref="DO83:DO88" si="296">SUM(CR83:CX83)</f>
        <v>0</v>
      </c>
      <c r="DP83" s="12">
        <f>DO83*1000</f>
        <v>0</v>
      </c>
      <c r="DQ83" s="12">
        <f t="shared" ref="DQ83:DQ88" si="297">SUM(CY83:DH83)</f>
        <v>0</v>
      </c>
      <c r="DR83" s="12">
        <f>DQ83*1000</f>
        <v>0</v>
      </c>
      <c r="DS83" s="12">
        <f t="shared" ref="DS83:DS88" si="298">DK83+DM83+DO83+DQ83</f>
        <v>1</v>
      </c>
      <c r="DT83" s="12">
        <f>DS83*1000</f>
        <v>1000</v>
      </c>
      <c r="DU83" s="22"/>
      <c r="DV83" s="22"/>
      <c r="DW83" s="22"/>
      <c r="DX83" s="22"/>
      <c r="DY83" s="22"/>
    </row>
    <row r="84" spans="1:129" ht="14.25" customHeight="1">
      <c r="A84" s="12">
        <v>80</v>
      </c>
      <c r="B84" s="19" t="s">
        <v>118</v>
      </c>
      <c r="C84" s="14"/>
      <c r="D84" s="95"/>
      <c r="E84" s="56">
        <v>3</v>
      </c>
      <c r="F84" s="103"/>
      <c r="G84" s="17">
        <v>3</v>
      </c>
      <c r="H84" s="17"/>
      <c r="I84" s="17"/>
      <c r="J84" s="17"/>
      <c r="K84" s="17"/>
      <c r="L84" s="17"/>
      <c r="M84" s="17"/>
      <c r="N84" s="17"/>
      <c r="O84" s="17"/>
      <c r="P84" s="17"/>
      <c r="Q84" s="17">
        <v>2</v>
      </c>
      <c r="R84" s="17"/>
      <c r="S84" s="17"/>
      <c r="T84" s="17"/>
      <c r="U84" s="17"/>
      <c r="V84" s="17"/>
      <c r="W84" s="17"/>
      <c r="X84" s="17"/>
      <c r="Y84" s="17"/>
      <c r="Z84" s="17">
        <v>4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2">
        <f t="shared" si="289"/>
        <v>0</v>
      </c>
      <c r="AP84" s="17">
        <f>AO84*15000</f>
        <v>0</v>
      </c>
      <c r="AQ84" s="12">
        <f>AP84+DJ84</f>
        <v>135000</v>
      </c>
      <c r="AR84" s="40" t="s">
        <v>301</v>
      </c>
      <c r="AS84" s="126">
        <f t="shared" si="275"/>
        <v>9</v>
      </c>
      <c r="AT84" s="56">
        <v>3</v>
      </c>
      <c r="AU84" s="50"/>
      <c r="AV84" s="12"/>
      <c r="AW84" s="12"/>
      <c r="AX84" s="12"/>
      <c r="AY84" s="12">
        <f t="shared" si="290"/>
        <v>0</v>
      </c>
      <c r="AZ84" s="12">
        <f t="shared" si="290"/>
        <v>0</v>
      </c>
      <c r="BA84" s="12">
        <f t="shared" si="290"/>
        <v>0</v>
      </c>
      <c r="BB84" s="12">
        <f t="shared" si="290"/>
        <v>0</v>
      </c>
      <c r="BC84" s="12">
        <f t="shared" si="290"/>
        <v>0</v>
      </c>
      <c r="BD84" s="12">
        <f t="shared" si="290"/>
        <v>0</v>
      </c>
      <c r="BE84" s="12">
        <f t="shared" si="290"/>
        <v>0</v>
      </c>
      <c r="BF84" s="12">
        <f t="shared" si="290"/>
        <v>2</v>
      </c>
      <c r="BG84" s="12">
        <f t="shared" si="290"/>
        <v>0</v>
      </c>
      <c r="BH84" s="12">
        <f t="shared" si="290"/>
        <v>0</v>
      </c>
      <c r="BI84" s="12">
        <f t="shared" si="291"/>
        <v>0</v>
      </c>
      <c r="BJ84" s="12">
        <f t="shared" si="291"/>
        <v>0</v>
      </c>
      <c r="BK84" s="12">
        <f t="shared" si="291"/>
        <v>0</v>
      </c>
      <c r="BL84" s="12">
        <f t="shared" si="291"/>
        <v>0</v>
      </c>
      <c r="BM84" s="12">
        <f t="shared" si="291"/>
        <v>0</v>
      </c>
      <c r="BN84" s="12">
        <f t="shared" si="291"/>
        <v>0</v>
      </c>
      <c r="BO84" s="12">
        <f t="shared" si="291"/>
        <v>4</v>
      </c>
      <c r="BP84" s="12">
        <f t="shared" si="291"/>
        <v>0</v>
      </c>
      <c r="BQ84" s="12">
        <f t="shared" si="291"/>
        <v>0</v>
      </c>
      <c r="BR84" s="12">
        <f t="shared" si="291"/>
        <v>0</v>
      </c>
      <c r="BS84" s="12">
        <f t="shared" si="292"/>
        <v>0</v>
      </c>
      <c r="BT84" s="12">
        <f t="shared" si="292"/>
        <v>0</v>
      </c>
      <c r="BU84" s="12">
        <f t="shared" si="292"/>
        <v>0</v>
      </c>
      <c r="BV84" s="12">
        <f t="shared" si="292"/>
        <v>0</v>
      </c>
      <c r="BW84" s="12">
        <f t="shared" si="292"/>
        <v>0</v>
      </c>
      <c r="BX84" s="12">
        <f t="shared" si="292"/>
        <v>0</v>
      </c>
      <c r="BY84" s="12">
        <f t="shared" si="292"/>
        <v>0</v>
      </c>
      <c r="BZ84" s="12">
        <f t="shared" si="292"/>
        <v>0</v>
      </c>
      <c r="CA84" s="12">
        <f t="shared" si="292"/>
        <v>0</v>
      </c>
      <c r="CB84" s="12">
        <f t="shared" si="292"/>
        <v>0</v>
      </c>
      <c r="CC84" s="12">
        <f t="shared" si="293"/>
        <v>0</v>
      </c>
      <c r="CD84" s="12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2"/>
      <c r="CQ84" s="17"/>
      <c r="CR84" s="17"/>
      <c r="CS84" s="17"/>
      <c r="CT84" s="17"/>
      <c r="CU84" s="17"/>
      <c r="CV84" s="12"/>
      <c r="CW84" s="17"/>
      <c r="CX84" s="17"/>
      <c r="CY84" s="17"/>
      <c r="CZ84" s="17"/>
      <c r="DA84" s="17"/>
      <c r="DB84" s="17"/>
      <c r="DC84" s="17"/>
      <c r="DD84" s="17"/>
      <c r="DE84" s="12"/>
      <c r="DF84" s="17"/>
      <c r="DG84" s="17"/>
      <c r="DH84" s="17"/>
      <c r="DI84" s="36">
        <f t="shared" si="288"/>
        <v>9</v>
      </c>
      <c r="DJ84" s="12">
        <f>DI84*15000</f>
        <v>135000</v>
      </c>
      <c r="DK84" s="12">
        <f t="shared" si="294"/>
        <v>0</v>
      </c>
      <c r="DL84" s="12">
        <f>DK84*15000</f>
        <v>0</v>
      </c>
      <c r="DM84" s="12">
        <f t="shared" si="295"/>
        <v>0</v>
      </c>
      <c r="DN84" s="12">
        <f>DM84*15000</f>
        <v>0</v>
      </c>
      <c r="DO84" s="12">
        <f t="shared" si="296"/>
        <v>0</v>
      </c>
      <c r="DP84" s="12">
        <f>DO84*15000</f>
        <v>0</v>
      </c>
      <c r="DQ84" s="12">
        <f t="shared" si="297"/>
        <v>0</v>
      </c>
      <c r="DR84" s="12">
        <f>DQ84*15000</f>
        <v>0</v>
      </c>
      <c r="DS84" s="12">
        <f t="shared" si="298"/>
        <v>0</v>
      </c>
      <c r="DT84" s="12">
        <f>DS84*15000</f>
        <v>0</v>
      </c>
    </row>
    <row r="85" spans="1:129" ht="14.25" customHeight="1">
      <c r="A85" s="12">
        <v>81</v>
      </c>
      <c r="B85" s="19" t="s">
        <v>119</v>
      </c>
      <c r="C85" s="14"/>
      <c r="D85" s="95"/>
      <c r="E85" s="56">
        <v>3</v>
      </c>
      <c r="F85" s="103"/>
      <c r="G85" s="17">
        <v>7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>
        <v>7</v>
      </c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2">
        <f t="shared" si="289"/>
        <v>3</v>
      </c>
      <c r="AP85" s="17">
        <f>AO85*23300</f>
        <v>69900</v>
      </c>
      <c r="AQ85" s="12">
        <f>AP85+DJ85</f>
        <v>582500</v>
      </c>
      <c r="AR85" s="17"/>
      <c r="AS85" s="126">
        <f t="shared" si="275"/>
        <v>22</v>
      </c>
      <c r="AT85" s="56">
        <v>15</v>
      </c>
      <c r="AU85" s="50"/>
      <c r="AV85" s="12"/>
      <c r="AW85" s="12"/>
      <c r="AX85" s="12"/>
      <c r="AY85" s="12">
        <f t="shared" si="290"/>
        <v>0</v>
      </c>
      <c r="AZ85" s="12">
        <f t="shared" si="290"/>
        <v>0</v>
      </c>
      <c r="BA85" s="12">
        <f t="shared" si="290"/>
        <v>0</v>
      </c>
      <c r="BB85" s="12">
        <f t="shared" si="290"/>
        <v>0</v>
      </c>
      <c r="BC85" s="12">
        <f t="shared" si="290"/>
        <v>0</v>
      </c>
      <c r="BD85" s="12">
        <f t="shared" si="290"/>
        <v>0</v>
      </c>
      <c r="BE85" s="12">
        <f t="shared" si="290"/>
        <v>0</v>
      </c>
      <c r="BF85" s="12">
        <f t="shared" si="290"/>
        <v>0</v>
      </c>
      <c r="BG85" s="12">
        <f t="shared" si="290"/>
        <v>0</v>
      </c>
      <c r="BH85" s="12">
        <f t="shared" si="290"/>
        <v>0</v>
      </c>
      <c r="BI85" s="12">
        <f t="shared" si="291"/>
        <v>0</v>
      </c>
      <c r="BJ85" s="12">
        <f t="shared" si="291"/>
        <v>0</v>
      </c>
      <c r="BK85" s="12">
        <f t="shared" si="291"/>
        <v>0</v>
      </c>
      <c r="BL85" s="12">
        <f t="shared" si="291"/>
        <v>7</v>
      </c>
      <c r="BM85" s="12">
        <f t="shared" si="291"/>
        <v>0</v>
      </c>
      <c r="BN85" s="12">
        <f t="shared" si="291"/>
        <v>0</v>
      </c>
      <c r="BO85" s="12">
        <f t="shared" si="291"/>
        <v>0</v>
      </c>
      <c r="BP85" s="12">
        <f t="shared" si="291"/>
        <v>0</v>
      </c>
      <c r="BQ85" s="12">
        <f t="shared" si="291"/>
        <v>0</v>
      </c>
      <c r="BR85" s="12">
        <f t="shared" si="291"/>
        <v>0</v>
      </c>
      <c r="BS85" s="12">
        <f t="shared" si="292"/>
        <v>0</v>
      </c>
      <c r="BT85" s="12">
        <f t="shared" si="292"/>
        <v>0</v>
      </c>
      <c r="BU85" s="12">
        <f t="shared" si="292"/>
        <v>0</v>
      </c>
      <c r="BV85" s="12">
        <f t="shared" si="292"/>
        <v>0</v>
      </c>
      <c r="BW85" s="12">
        <f t="shared" si="292"/>
        <v>0</v>
      </c>
      <c r="BX85" s="12">
        <f t="shared" si="292"/>
        <v>0</v>
      </c>
      <c r="BY85" s="12">
        <f t="shared" si="292"/>
        <v>0</v>
      </c>
      <c r="BZ85" s="12">
        <f t="shared" si="292"/>
        <v>0</v>
      </c>
      <c r="CA85" s="12">
        <f t="shared" si="292"/>
        <v>0</v>
      </c>
      <c r="CB85" s="12">
        <f t="shared" si="292"/>
        <v>0</v>
      </c>
      <c r="CC85" s="12">
        <f t="shared" si="293"/>
        <v>0</v>
      </c>
      <c r="CD85" s="12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2"/>
      <c r="CQ85" s="17"/>
      <c r="CR85" s="17"/>
      <c r="CS85" s="17"/>
      <c r="CT85" s="17"/>
      <c r="CU85" s="17"/>
      <c r="CV85" s="12"/>
      <c r="CW85" s="17"/>
      <c r="CX85" s="17"/>
      <c r="CY85" s="17"/>
      <c r="CZ85" s="17"/>
      <c r="DA85" s="17"/>
      <c r="DB85" s="17"/>
      <c r="DC85" s="17"/>
      <c r="DD85" s="17"/>
      <c r="DE85" s="12"/>
      <c r="DF85" s="17"/>
      <c r="DG85" s="17"/>
      <c r="DH85" s="17"/>
      <c r="DI85" s="36">
        <f t="shared" si="288"/>
        <v>22</v>
      </c>
      <c r="DJ85" s="12">
        <f>DI85*23300</f>
        <v>512600</v>
      </c>
      <c r="DK85" s="12">
        <f t="shared" si="294"/>
        <v>0</v>
      </c>
      <c r="DL85" s="12">
        <f>DK85*23300</f>
        <v>0</v>
      </c>
      <c r="DM85" s="12">
        <f t="shared" si="295"/>
        <v>0</v>
      </c>
      <c r="DN85" s="12">
        <f>DM85*23300</f>
        <v>0</v>
      </c>
      <c r="DO85" s="12">
        <f t="shared" si="296"/>
        <v>0</v>
      </c>
      <c r="DP85" s="12">
        <f>DO85*23300</f>
        <v>0</v>
      </c>
      <c r="DQ85" s="12">
        <f t="shared" si="297"/>
        <v>0</v>
      </c>
      <c r="DR85" s="12">
        <f>DQ85*23300</f>
        <v>0</v>
      </c>
      <c r="DS85" s="12">
        <f t="shared" si="298"/>
        <v>0</v>
      </c>
      <c r="DT85" s="12">
        <f>DS85*23300</f>
        <v>0</v>
      </c>
    </row>
    <row r="86" spans="1:129" ht="14.25" customHeight="1">
      <c r="A86" s="12">
        <v>82</v>
      </c>
      <c r="B86" s="19" t="s">
        <v>120</v>
      </c>
      <c r="C86" s="14"/>
      <c r="D86" s="95"/>
      <c r="E86" s="56">
        <v>6</v>
      </c>
      <c r="F86" s="103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>
        <v>2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2">
        <f t="shared" si="289"/>
        <v>4</v>
      </c>
      <c r="AP86" s="17">
        <f>AO86*2500</f>
        <v>10000</v>
      </c>
      <c r="AQ86" s="12">
        <f>AP86+DJ86</f>
        <v>17500</v>
      </c>
      <c r="AR86" s="20" t="s">
        <v>121</v>
      </c>
      <c r="AS86" s="126">
        <f t="shared" ref="AS86:AS91" si="299">DI86</f>
        <v>3</v>
      </c>
      <c r="AT86" s="56">
        <v>2</v>
      </c>
      <c r="AU86" s="50"/>
      <c r="AV86" s="12"/>
      <c r="AW86" s="12"/>
      <c r="AX86" s="12"/>
      <c r="AY86" s="12">
        <f t="shared" si="290"/>
        <v>0</v>
      </c>
      <c r="AZ86" s="12">
        <f t="shared" si="290"/>
        <v>0</v>
      </c>
      <c r="BA86" s="12">
        <f t="shared" si="290"/>
        <v>0</v>
      </c>
      <c r="BB86" s="12">
        <f t="shared" si="290"/>
        <v>0</v>
      </c>
      <c r="BC86" s="12">
        <f t="shared" si="290"/>
        <v>0</v>
      </c>
      <c r="BD86" s="12">
        <f t="shared" si="290"/>
        <v>0</v>
      </c>
      <c r="BE86" s="12">
        <f t="shared" si="290"/>
        <v>0</v>
      </c>
      <c r="BF86" s="12">
        <f t="shared" si="290"/>
        <v>0</v>
      </c>
      <c r="BG86" s="12">
        <f t="shared" si="290"/>
        <v>0</v>
      </c>
      <c r="BH86" s="12">
        <f t="shared" si="290"/>
        <v>0</v>
      </c>
      <c r="BI86" s="12">
        <f t="shared" si="291"/>
        <v>0</v>
      </c>
      <c r="BJ86" s="12">
        <f t="shared" si="291"/>
        <v>0</v>
      </c>
      <c r="BK86" s="12">
        <f t="shared" si="291"/>
        <v>0</v>
      </c>
      <c r="BL86" s="12">
        <f t="shared" si="291"/>
        <v>0</v>
      </c>
      <c r="BM86" s="12">
        <f t="shared" si="291"/>
        <v>0</v>
      </c>
      <c r="BN86" s="12">
        <f t="shared" si="291"/>
        <v>0</v>
      </c>
      <c r="BO86" s="12">
        <f t="shared" si="291"/>
        <v>2</v>
      </c>
      <c r="BP86" s="12">
        <f t="shared" si="291"/>
        <v>0</v>
      </c>
      <c r="BQ86" s="12">
        <f t="shared" si="291"/>
        <v>0</v>
      </c>
      <c r="BR86" s="12">
        <f t="shared" si="291"/>
        <v>0</v>
      </c>
      <c r="BS86" s="12">
        <f t="shared" si="292"/>
        <v>0</v>
      </c>
      <c r="BT86" s="12">
        <f t="shared" si="292"/>
        <v>0</v>
      </c>
      <c r="BU86" s="12">
        <f t="shared" si="292"/>
        <v>0</v>
      </c>
      <c r="BV86" s="12">
        <f t="shared" si="292"/>
        <v>0</v>
      </c>
      <c r="BW86" s="12">
        <f t="shared" si="292"/>
        <v>0</v>
      </c>
      <c r="BX86" s="12">
        <f t="shared" si="292"/>
        <v>0</v>
      </c>
      <c r="BY86" s="12">
        <f t="shared" si="292"/>
        <v>0</v>
      </c>
      <c r="BZ86" s="12">
        <f t="shared" si="292"/>
        <v>0</v>
      </c>
      <c r="CA86" s="12">
        <f t="shared" si="292"/>
        <v>0</v>
      </c>
      <c r="CB86" s="12">
        <f t="shared" si="292"/>
        <v>0</v>
      </c>
      <c r="CC86" s="12">
        <f t="shared" si="293"/>
        <v>0</v>
      </c>
      <c r="CD86" s="12">
        <v>1</v>
      </c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2"/>
      <c r="CQ86" s="17"/>
      <c r="CR86" s="17"/>
      <c r="CS86" s="17"/>
      <c r="CT86" s="17"/>
      <c r="CU86" s="17"/>
      <c r="CV86" s="12"/>
      <c r="CW86" s="17"/>
      <c r="CX86" s="17"/>
      <c r="CY86" s="17"/>
      <c r="CZ86" s="17"/>
      <c r="DA86" s="17"/>
      <c r="DB86" s="17"/>
      <c r="DC86" s="17"/>
      <c r="DD86" s="17"/>
      <c r="DE86" s="12"/>
      <c r="DF86" s="17"/>
      <c r="DG86" s="17"/>
      <c r="DH86" s="17"/>
      <c r="DI86" s="36">
        <f t="shared" ref="DI86:DI92" si="300">(AT86+SUM(AU86:AX86)+SUM(AY86:CC86)-SUM(CD86:DH86))</f>
        <v>3</v>
      </c>
      <c r="DJ86" s="12">
        <f>DI86*2500</f>
        <v>7500</v>
      </c>
      <c r="DK86" s="12">
        <f t="shared" si="294"/>
        <v>1</v>
      </c>
      <c r="DL86" s="12">
        <f>DK86*2500</f>
        <v>2500</v>
      </c>
      <c r="DM86" s="12">
        <f t="shared" si="295"/>
        <v>0</v>
      </c>
      <c r="DN86" s="12">
        <f>DM86*2500</f>
        <v>0</v>
      </c>
      <c r="DO86" s="12">
        <f t="shared" si="296"/>
        <v>0</v>
      </c>
      <c r="DP86" s="12">
        <f>DO86*2500</f>
        <v>0</v>
      </c>
      <c r="DQ86" s="12">
        <f t="shared" si="297"/>
        <v>0</v>
      </c>
      <c r="DR86" s="12">
        <f>DQ86*2500</f>
        <v>0</v>
      </c>
      <c r="DS86" s="12">
        <f t="shared" si="298"/>
        <v>1</v>
      </c>
      <c r="DT86" s="12">
        <f>DS86*2500</f>
        <v>2500</v>
      </c>
    </row>
    <row r="87" spans="1:129" ht="14.25" customHeight="1">
      <c r="A87" s="12">
        <v>83</v>
      </c>
      <c r="B87" s="19" t="s">
        <v>122</v>
      </c>
      <c r="C87" s="14"/>
      <c r="D87" s="95"/>
      <c r="E87" s="56">
        <v>13</v>
      </c>
      <c r="F87" s="103"/>
      <c r="G87" s="17">
        <v>1</v>
      </c>
      <c r="H87" s="17"/>
      <c r="I87" s="17"/>
      <c r="J87" s="17">
        <v>8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2">
        <f t="shared" si="289"/>
        <v>6</v>
      </c>
      <c r="AP87" s="17">
        <f>AO87*6000</f>
        <v>36000</v>
      </c>
      <c r="AQ87" s="12">
        <f>AP87+DJ87</f>
        <v>96000</v>
      </c>
      <c r="AR87" s="20"/>
      <c r="AS87" s="126">
        <f t="shared" si="299"/>
        <v>10</v>
      </c>
      <c r="AT87" s="56">
        <v>2</v>
      </c>
      <c r="AU87" s="50"/>
      <c r="AV87" s="12"/>
      <c r="AW87" s="12"/>
      <c r="AX87" s="12"/>
      <c r="AY87" s="12">
        <f t="shared" si="290"/>
        <v>8</v>
      </c>
      <c r="AZ87" s="12">
        <f t="shared" si="290"/>
        <v>0</v>
      </c>
      <c r="BA87" s="12">
        <f t="shared" si="290"/>
        <v>0</v>
      </c>
      <c r="BB87" s="12">
        <f t="shared" si="290"/>
        <v>0</v>
      </c>
      <c r="BC87" s="12">
        <f t="shared" si="290"/>
        <v>0</v>
      </c>
      <c r="BD87" s="12">
        <f t="shared" si="290"/>
        <v>0</v>
      </c>
      <c r="BE87" s="12">
        <f t="shared" si="290"/>
        <v>0</v>
      </c>
      <c r="BF87" s="12">
        <f t="shared" si="290"/>
        <v>0</v>
      </c>
      <c r="BG87" s="12">
        <f t="shared" si="290"/>
        <v>0</v>
      </c>
      <c r="BH87" s="12">
        <f t="shared" si="290"/>
        <v>0</v>
      </c>
      <c r="BI87" s="12">
        <f t="shared" si="291"/>
        <v>0</v>
      </c>
      <c r="BJ87" s="12">
        <f t="shared" si="291"/>
        <v>0</v>
      </c>
      <c r="BK87" s="12">
        <f t="shared" si="291"/>
        <v>0</v>
      </c>
      <c r="BL87" s="12">
        <f t="shared" si="291"/>
        <v>0</v>
      </c>
      <c r="BM87" s="12">
        <f t="shared" si="291"/>
        <v>0</v>
      </c>
      <c r="BN87" s="12">
        <f t="shared" si="291"/>
        <v>0</v>
      </c>
      <c r="BO87" s="12">
        <f t="shared" si="291"/>
        <v>0</v>
      </c>
      <c r="BP87" s="12">
        <f t="shared" si="291"/>
        <v>0</v>
      </c>
      <c r="BQ87" s="12">
        <f t="shared" si="291"/>
        <v>0</v>
      </c>
      <c r="BR87" s="12">
        <f t="shared" si="291"/>
        <v>0</v>
      </c>
      <c r="BS87" s="12">
        <f t="shared" si="292"/>
        <v>0</v>
      </c>
      <c r="BT87" s="12">
        <f t="shared" si="292"/>
        <v>0</v>
      </c>
      <c r="BU87" s="12">
        <f t="shared" si="292"/>
        <v>0</v>
      </c>
      <c r="BV87" s="12">
        <f t="shared" si="292"/>
        <v>0</v>
      </c>
      <c r="BW87" s="12">
        <f t="shared" si="292"/>
        <v>0</v>
      </c>
      <c r="BX87" s="12">
        <f t="shared" si="292"/>
        <v>0</v>
      </c>
      <c r="BY87" s="12">
        <f t="shared" si="292"/>
        <v>0</v>
      </c>
      <c r="BZ87" s="12">
        <f t="shared" si="292"/>
        <v>0</v>
      </c>
      <c r="CA87" s="12">
        <f t="shared" si="292"/>
        <v>0</v>
      </c>
      <c r="CB87" s="12">
        <f t="shared" si="292"/>
        <v>0</v>
      </c>
      <c r="CC87" s="12">
        <f t="shared" si="293"/>
        <v>0</v>
      </c>
      <c r="CD87" s="12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2"/>
      <c r="CQ87" s="17"/>
      <c r="CR87" s="17"/>
      <c r="CS87" s="17"/>
      <c r="CT87" s="17"/>
      <c r="CU87" s="17"/>
      <c r="CV87" s="12"/>
      <c r="CW87" s="17"/>
      <c r="CX87" s="17"/>
      <c r="CY87" s="17"/>
      <c r="CZ87" s="17"/>
      <c r="DA87" s="17"/>
      <c r="DB87" s="17"/>
      <c r="DC87" s="17"/>
      <c r="DD87" s="17"/>
      <c r="DE87" s="12"/>
      <c r="DF87" s="17"/>
      <c r="DG87" s="17"/>
      <c r="DH87" s="17"/>
      <c r="DI87" s="36">
        <f t="shared" si="300"/>
        <v>10</v>
      </c>
      <c r="DJ87" s="12">
        <f>DI87*6000</f>
        <v>60000</v>
      </c>
      <c r="DK87" s="12">
        <f t="shared" si="294"/>
        <v>0</v>
      </c>
      <c r="DL87" s="12">
        <f>DK87*6000</f>
        <v>0</v>
      </c>
      <c r="DM87" s="12">
        <f t="shared" si="295"/>
        <v>0</v>
      </c>
      <c r="DN87" s="12">
        <f>DM87*6000</f>
        <v>0</v>
      </c>
      <c r="DO87" s="12">
        <f t="shared" si="296"/>
        <v>0</v>
      </c>
      <c r="DP87" s="12">
        <f>DO87*6000</f>
        <v>0</v>
      </c>
      <c r="DQ87" s="12">
        <f t="shared" si="297"/>
        <v>0</v>
      </c>
      <c r="DR87" s="12">
        <f>DQ87*6000</f>
        <v>0</v>
      </c>
      <c r="DS87" s="12">
        <f t="shared" si="298"/>
        <v>0</v>
      </c>
      <c r="DT87" s="12">
        <f>DS87*6000</f>
        <v>0</v>
      </c>
    </row>
    <row r="88" spans="1:129" ht="14.25" customHeight="1">
      <c r="A88" s="12">
        <v>84</v>
      </c>
      <c r="B88" s="19" t="s">
        <v>123</v>
      </c>
      <c r="C88" s="15" t="s">
        <v>32</v>
      </c>
      <c r="D88" s="95"/>
      <c r="E88" s="56"/>
      <c r="F88" s="103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2"/>
      <c r="AP88" s="17"/>
      <c r="AQ88" s="12">
        <f>DJ88</f>
        <v>500</v>
      </c>
      <c r="AR88" s="17"/>
      <c r="AS88" s="126">
        <f t="shared" si="299"/>
        <v>1</v>
      </c>
      <c r="AT88" s="56">
        <v>1</v>
      </c>
      <c r="AU88" s="50">
        <v>1</v>
      </c>
      <c r="AV88" s="12">
        <v>1</v>
      </c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7"/>
      <c r="CF88" s="17"/>
      <c r="CG88" s="17">
        <v>1</v>
      </c>
      <c r="CH88" s="17"/>
      <c r="CI88" s="17"/>
      <c r="CJ88" s="17"/>
      <c r="CK88" s="17"/>
      <c r="CL88" s="17"/>
      <c r="CM88" s="17"/>
      <c r="CN88" s="17"/>
      <c r="CO88" s="17">
        <v>1</v>
      </c>
      <c r="CP88" s="12"/>
      <c r="CQ88" s="17"/>
      <c r="CR88" s="17"/>
      <c r="CS88" s="17"/>
      <c r="CT88" s="17"/>
      <c r="CU88" s="17"/>
      <c r="CV88" s="12"/>
      <c r="CW88" s="17"/>
      <c r="CX88" s="17"/>
      <c r="CY88" s="17"/>
      <c r="CZ88" s="17"/>
      <c r="DA88" s="17"/>
      <c r="DB88" s="17"/>
      <c r="DC88" s="17"/>
      <c r="DD88" s="17"/>
      <c r="DE88" s="12"/>
      <c r="DF88" s="17"/>
      <c r="DG88" s="17"/>
      <c r="DH88" s="17"/>
      <c r="DI88" s="36">
        <f t="shared" si="300"/>
        <v>1</v>
      </c>
      <c r="DJ88" s="12">
        <f>DI88*500</f>
        <v>500</v>
      </c>
      <c r="DK88" s="12">
        <f t="shared" si="294"/>
        <v>1</v>
      </c>
      <c r="DL88" s="12">
        <f>DK88*500</f>
        <v>500</v>
      </c>
      <c r="DM88" s="12">
        <f t="shared" si="295"/>
        <v>1</v>
      </c>
      <c r="DN88" s="12">
        <f>DM88*500</f>
        <v>500</v>
      </c>
      <c r="DO88" s="12">
        <f t="shared" si="296"/>
        <v>0</v>
      </c>
      <c r="DP88" s="12">
        <f>DO88*500</f>
        <v>0</v>
      </c>
      <c r="DQ88" s="12">
        <f t="shared" si="297"/>
        <v>0</v>
      </c>
      <c r="DR88" s="12">
        <f>DQ88*500</f>
        <v>0</v>
      </c>
      <c r="DS88" s="12">
        <f t="shared" si="298"/>
        <v>2</v>
      </c>
      <c r="DT88" s="12">
        <f>DS88*500</f>
        <v>1000</v>
      </c>
    </row>
    <row r="89" spans="1:129" ht="14.25" customHeight="1">
      <c r="A89" s="12">
        <v>85</v>
      </c>
      <c r="B89" s="19" t="s">
        <v>124</v>
      </c>
      <c r="C89" s="14"/>
      <c r="D89" s="95"/>
      <c r="E89" s="56">
        <v>18</v>
      </c>
      <c r="F89" s="103"/>
      <c r="G89" s="17">
        <v>2</v>
      </c>
      <c r="H89" s="17"/>
      <c r="I89" s="17"/>
      <c r="J89" s="17">
        <v>10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2">
        <f t="shared" ref="AO89:AO90" si="301">E89+F89+G89+H89+I89-J89-K89-L89-M89-N89-O89-P89-Q89-R89-S89-T89-U89-V89-W89-X89-Y89-Z89-AA89-AB89-AC89-AD89-AE89-AF89-AG89-AH89-AI89-AJ89-AK89-AL89-AM89-AN89</f>
        <v>10</v>
      </c>
      <c r="AP89" s="17">
        <f>AO89*5700</f>
        <v>57000</v>
      </c>
      <c r="AQ89" s="12">
        <f>AP89+DJ89</f>
        <v>119700</v>
      </c>
      <c r="AR89" s="20"/>
      <c r="AS89" s="126">
        <f t="shared" si="299"/>
        <v>11</v>
      </c>
      <c r="AT89" s="56">
        <v>1</v>
      </c>
      <c r="AU89" s="50"/>
      <c r="AV89" s="12"/>
      <c r="AW89" s="12"/>
      <c r="AX89" s="12"/>
      <c r="AY89" s="12">
        <f t="shared" ref="AY89:BH90" si="302">J89</f>
        <v>10</v>
      </c>
      <c r="AZ89" s="12">
        <f t="shared" si="302"/>
        <v>0</v>
      </c>
      <c r="BA89" s="12">
        <f t="shared" si="302"/>
        <v>0</v>
      </c>
      <c r="BB89" s="12">
        <f t="shared" si="302"/>
        <v>0</v>
      </c>
      <c r="BC89" s="12">
        <f t="shared" si="302"/>
        <v>0</v>
      </c>
      <c r="BD89" s="12">
        <f t="shared" si="302"/>
        <v>0</v>
      </c>
      <c r="BE89" s="12">
        <f t="shared" si="302"/>
        <v>0</v>
      </c>
      <c r="BF89" s="12">
        <f t="shared" si="302"/>
        <v>0</v>
      </c>
      <c r="BG89" s="12">
        <f t="shared" si="302"/>
        <v>0</v>
      </c>
      <c r="BH89" s="12">
        <f t="shared" si="302"/>
        <v>0</v>
      </c>
      <c r="BI89" s="12">
        <f t="shared" ref="BI89:BR90" si="303">T89</f>
        <v>0</v>
      </c>
      <c r="BJ89" s="12">
        <f t="shared" si="303"/>
        <v>0</v>
      </c>
      <c r="BK89" s="12">
        <f t="shared" si="303"/>
        <v>0</v>
      </c>
      <c r="BL89" s="12">
        <f t="shared" si="303"/>
        <v>0</v>
      </c>
      <c r="BM89" s="12">
        <f t="shared" si="303"/>
        <v>0</v>
      </c>
      <c r="BN89" s="12">
        <f t="shared" si="303"/>
        <v>0</v>
      </c>
      <c r="BO89" s="12">
        <f t="shared" si="303"/>
        <v>0</v>
      </c>
      <c r="BP89" s="12">
        <f t="shared" si="303"/>
        <v>0</v>
      </c>
      <c r="BQ89" s="12">
        <f t="shared" si="303"/>
        <v>0</v>
      </c>
      <c r="BR89" s="12">
        <f t="shared" si="303"/>
        <v>0</v>
      </c>
      <c r="BS89" s="12">
        <f t="shared" ref="BS89:CB90" si="304">AD89</f>
        <v>0</v>
      </c>
      <c r="BT89" s="12">
        <f t="shared" si="304"/>
        <v>0</v>
      </c>
      <c r="BU89" s="12">
        <f t="shared" si="304"/>
        <v>0</v>
      </c>
      <c r="BV89" s="12">
        <f t="shared" si="304"/>
        <v>0</v>
      </c>
      <c r="BW89" s="12">
        <f t="shared" si="304"/>
        <v>0</v>
      </c>
      <c r="BX89" s="12">
        <f t="shared" si="304"/>
        <v>0</v>
      </c>
      <c r="BY89" s="12">
        <f t="shared" si="304"/>
        <v>0</v>
      </c>
      <c r="BZ89" s="12">
        <f t="shared" si="304"/>
        <v>0</v>
      </c>
      <c r="CA89" s="12">
        <f t="shared" si="304"/>
        <v>0</v>
      </c>
      <c r="CB89" s="12">
        <f t="shared" si="304"/>
        <v>0</v>
      </c>
      <c r="CC89" s="12">
        <f t="shared" ref="CC89:CC90" si="305">AN89</f>
        <v>0</v>
      </c>
      <c r="CD89" s="12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2"/>
      <c r="CQ89" s="17"/>
      <c r="CR89" s="17"/>
      <c r="CS89" s="17"/>
      <c r="CT89" s="17"/>
      <c r="CU89" s="17"/>
      <c r="CV89" s="12"/>
      <c r="CW89" s="17"/>
      <c r="CX89" s="17"/>
      <c r="CY89" s="17"/>
      <c r="CZ89" s="17"/>
      <c r="DA89" s="17"/>
      <c r="DB89" s="17"/>
      <c r="DC89" s="17"/>
      <c r="DD89" s="17"/>
      <c r="DE89" s="12"/>
      <c r="DF89" s="17"/>
      <c r="DG89" s="17"/>
      <c r="DH89" s="17"/>
      <c r="DI89" s="36">
        <f t="shared" si="300"/>
        <v>11</v>
      </c>
      <c r="DJ89" s="12">
        <f>DI89*5700</f>
        <v>62700</v>
      </c>
      <c r="DK89" s="12">
        <f t="shared" ref="DK89:DK92" si="306">SUM(CD89:CJ89)</f>
        <v>0</v>
      </c>
      <c r="DL89" s="12">
        <f>DK89*5700</f>
        <v>0</v>
      </c>
      <c r="DM89" s="12">
        <f t="shared" ref="DM89:DM92" si="307">SUM(CK89:CQ89)</f>
        <v>0</v>
      </c>
      <c r="DN89" s="12">
        <f>DM89*5700</f>
        <v>0</v>
      </c>
      <c r="DO89" s="12">
        <f t="shared" ref="DO89:DO92" si="308">SUM(CR89:CX89)</f>
        <v>0</v>
      </c>
      <c r="DP89" s="12">
        <f>DO89*5700</f>
        <v>0</v>
      </c>
      <c r="DQ89" s="12">
        <f t="shared" ref="DQ89:DQ92" si="309">SUM(CY89:DH89)</f>
        <v>0</v>
      </c>
      <c r="DR89" s="12">
        <f>DQ89*5700</f>
        <v>0</v>
      </c>
      <c r="DS89" s="12">
        <f t="shared" ref="DS89:DS92" si="310">DK89+DM89+DO89+DQ89</f>
        <v>0</v>
      </c>
      <c r="DT89" s="12">
        <f>DS89*5700</f>
        <v>0</v>
      </c>
    </row>
    <row r="90" spans="1:129" ht="14.25" customHeight="1">
      <c r="A90" s="12">
        <v>86</v>
      </c>
      <c r="B90" s="19" t="s">
        <v>125</v>
      </c>
      <c r="C90" s="14"/>
      <c r="D90" s="95"/>
      <c r="E90" s="56">
        <v>40</v>
      </c>
      <c r="F90" s="103"/>
      <c r="G90" s="17">
        <v>4</v>
      </c>
      <c r="H90" s="17"/>
      <c r="I90" s="17"/>
      <c r="J90" s="17">
        <v>8</v>
      </c>
      <c r="K90" s="17"/>
      <c r="L90" s="17"/>
      <c r="M90" s="17"/>
      <c r="N90" s="17">
        <v>5</v>
      </c>
      <c r="O90" s="17"/>
      <c r="P90" s="17"/>
      <c r="Q90" s="17">
        <v>6</v>
      </c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2">
        <f t="shared" si="301"/>
        <v>25</v>
      </c>
      <c r="AP90" s="17">
        <f>AO90*13500</f>
        <v>337500</v>
      </c>
      <c r="AQ90" s="12">
        <f>AP90+DJ90</f>
        <v>594000</v>
      </c>
      <c r="AR90" s="17"/>
      <c r="AS90" s="126">
        <f t="shared" si="299"/>
        <v>19</v>
      </c>
      <c r="AT90" s="56">
        <v>0</v>
      </c>
      <c r="AU90" s="50"/>
      <c r="AV90" s="12"/>
      <c r="AW90" s="12"/>
      <c r="AX90" s="12"/>
      <c r="AY90" s="12">
        <f t="shared" si="302"/>
        <v>8</v>
      </c>
      <c r="AZ90" s="12">
        <f t="shared" si="302"/>
        <v>0</v>
      </c>
      <c r="BA90" s="12">
        <f t="shared" si="302"/>
        <v>0</v>
      </c>
      <c r="BB90" s="12">
        <f t="shared" si="302"/>
        <v>0</v>
      </c>
      <c r="BC90" s="12">
        <f t="shared" si="302"/>
        <v>5</v>
      </c>
      <c r="BD90" s="12">
        <f t="shared" si="302"/>
        <v>0</v>
      </c>
      <c r="BE90" s="12">
        <f t="shared" si="302"/>
        <v>0</v>
      </c>
      <c r="BF90" s="12">
        <f t="shared" si="302"/>
        <v>6</v>
      </c>
      <c r="BG90" s="12">
        <f t="shared" si="302"/>
        <v>0</v>
      </c>
      <c r="BH90" s="12">
        <f t="shared" si="302"/>
        <v>0</v>
      </c>
      <c r="BI90" s="12">
        <f t="shared" si="303"/>
        <v>0</v>
      </c>
      <c r="BJ90" s="12">
        <f t="shared" si="303"/>
        <v>0</v>
      </c>
      <c r="BK90" s="12">
        <f t="shared" si="303"/>
        <v>0</v>
      </c>
      <c r="BL90" s="12">
        <f t="shared" si="303"/>
        <v>0</v>
      </c>
      <c r="BM90" s="12">
        <f t="shared" si="303"/>
        <v>0</v>
      </c>
      <c r="BN90" s="12">
        <f t="shared" si="303"/>
        <v>0</v>
      </c>
      <c r="BO90" s="12">
        <f t="shared" si="303"/>
        <v>0</v>
      </c>
      <c r="BP90" s="12">
        <f t="shared" si="303"/>
        <v>0</v>
      </c>
      <c r="BQ90" s="12">
        <f t="shared" si="303"/>
        <v>0</v>
      </c>
      <c r="BR90" s="12">
        <f t="shared" si="303"/>
        <v>0</v>
      </c>
      <c r="BS90" s="12">
        <f t="shared" si="304"/>
        <v>0</v>
      </c>
      <c r="BT90" s="12">
        <f t="shared" si="304"/>
        <v>0</v>
      </c>
      <c r="BU90" s="12">
        <f t="shared" si="304"/>
        <v>0</v>
      </c>
      <c r="BV90" s="12">
        <f t="shared" si="304"/>
        <v>0</v>
      </c>
      <c r="BW90" s="12">
        <f t="shared" si="304"/>
        <v>0</v>
      </c>
      <c r="BX90" s="12">
        <f t="shared" si="304"/>
        <v>0</v>
      </c>
      <c r="BY90" s="12">
        <f t="shared" si="304"/>
        <v>0</v>
      </c>
      <c r="BZ90" s="12">
        <f t="shared" si="304"/>
        <v>0</v>
      </c>
      <c r="CA90" s="12">
        <f t="shared" si="304"/>
        <v>0</v>
      </c>
      <c r="CB90" s="12">
        <f t="shared" si="304"/>
        <v>0</v>
      </c>
      <c r="CC90" s="12">
        <f t="shared" si="305"/>
        <v>0</v>
      </c>
      <c r="CD90" s="12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2"/>
      <c r="CQ90" s="17"/>
      <c r="CR90" s="17"/>
      <c r="CS90" s="17"/>
      <c r="CT90" s="17"/>
      <c r="CU90" s="17"/>
      <c r="CV90" s="12"/>
      <c r="CW90" s="17"/>
      <c r="CX90" s="17"/>
      <c r="CY90" s="17"/>
      <c r="CZ90" s="17"/>
      <c r="DA90" s="17"/>
      <c r="DB90" s="17"/>
      <c r="DC90" s="17"/>
      <c r="DD90" s="17"/>
      <c r="DE90" s="12"/>
      <c r="DF90" s="17"/>
      <c r="DG90" s="17"/>
      <c r="DH90" s="17"/>
      <c r="DI90" s="36">
        <f t="shared" si="300"/>
        <v>19</v>
      </c>
      <c r="DJ90" s="12">
        <f>DI90*13500</f>
        <v>256500</v>
      </c>
      <c r="DK90" s="12">
        <f t="shared" si="306"/>
        <v>0</v>
      </c>
      <c r="DL90" s="12">
        <f>DK90*13500</f>
        <v>0</v>
      </c>
      <c r="DM90" s="12">
        <f t="shared" si="307"/>
        <v>0</v>
      </c>
      <c r="DN90" s="12">
        <f>DM90*13500</f>
        <v>0</v>
      </c>
      <c r="DO90" s="12">
        <f t="shared" si="308"/>
        <v>0</v>
      </c>
      <c r="DP90" s="12">
        <f>DO90*13500</f>
        <v>0</v>
      </c>
      <c r="DQ90" s="12">
        <f t="shared" si="309"/>
        <v>0</v>
      </c>
      <c r="DR90" s="12">
        <f>DQ90*13500</f>
        <v>0</v>
      </c>
      <c r="DS90" s="12">
        <f t="shared" si="310"/>
        <v>0</v>
      </c>
      <c r="DT90" s="12">
        <f>DS90*13500</f>
        <v>0</v>
      </c>
    </row>
    <row r="91" spans="1:129" ht="14.25" customHeight="1">
      <c r="A91" s="30">
        <v>87</v>
      </c>
      <c r="B91" s="19" t="s">
        <v>126</v>
      </c>
      <c r="C91" s="15" t="s">
        <v>32</v>
      </c>
      <c r="D91" s="95"/>
      <c r="E91" s="56"/>
      <c r="F91" s="103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2"/>
      <c r="AP91" s="17"/>
      <c r="AQ91" s="12">
        <f>DJ91</f>
        <v>1000</v>
      </c>
      <c r="AR91" s="17"/>
      <c r="AS91" s="126">
        <f t="shared" si="299"/>
        <v>2</v>
      </c>
      <c r="AT91" s="56">
        <v>4</v>
      </c>
      <c r="AU91" s="50">
        <v>3</v>
      </c>
      <c r="AV91" s="12">
        <v>1</v>
      </c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7"/>
      <c r="CF91" s="17"/>
      <c r="CG91" s="17">
        <v>2</v>
      </c>
      <c r="CH91" s="17"/>
      <c r="CI91" s="17"/>
      <c r="CJ91" s="17"/>
      <c r="CK91" s="17"/>
      <c r="CL91" s="17"/>
      <c r="CM91" s="17">
        <v>2</v>
      </c>
      <c r="CN91" s="17"/>
      <c r="CO91" s="17"/>
      <c r="CP91" s="12"/>
      <c r="CQ91" s="17"/>
      <c r="CR91" s="17"/>
      <c r="CS91" s="17"/>
      <c r="CT91" s="17">
        <v>2</v>
      </c>
      <c r="CU91" s="17"/>
      <c r="CV91" s="12"/>
      <c r="CW91" s="17"/>
      <c r="CX91" s="17"/>
      <c r="CY91" s="17"/>
      <c r="CZ91" s="17"/>
      <c r="DA91" s="17"/>
      <c r="DB91" s="17"/>
      <c r="DC91" s="17"/>
      <c r="DD91" s="17"/>
      <c r="DE91" s="12"/>
      <c r="DF91" s="17"/>
      <c r="DG91" s="17"/>
      <c r="DH91" s="17"/>
      <c r="DI91" s="36">
        <f t="shared" si="300"/>
        <v>2</v>
      </c>
      <c r="DJ91" s="12">
        <f>DI91*500</f>
        <v>1000</v>
      </c>
      <c r="DK91" s="12">
        <f t="shared" si="306"/>
        <v>2</v>
      </c>
      <c r="DL91" s="12">
        <f>DK91*500</f>
        <v>1000</v>
      </c>
      <c r="DM91" s="12">
        <f t="shared" si="307"/>
        <v>2</v>
      </c>
      <c r="DN91" s="12">
        <f>DM91*500</f>
        <v>1000</v>
      </c>
      <c r="DO91" s="12">
        <f t="shared" si="308"/>
        <v>2</v>
      </c>
      <c r="DP91" s="12">
        <f>DO91*500</f>
        <v>1000</v>
      </c>
      <c r="DQ91" s="12">
        <f t="shared" si="309"/>
        <v>0</v>
      </c>
      <c r="DR91" s="12">
        <f>DQ91*500</f>
        <v>0</v>
      </c>
      <c r="DS91" s="12">
        <f t="shared" si="310"/>
        <v>6</v>
      </c>
      <c r="DT91" s="12">
        <f>DS91*500</f>
        <v>3000</v>
      </c>
    </row>
    <row r="92" spans="1:129" ht="14.25" customHeight="1">
      <c r="A92" s="30">
        <v>88</v>
      </c>
      <c r="B92" s="19" t="s">
        <v>127</v>
      </c>
      <c r="C92" s="15" t="s">
        <v>32</v>
      </c>
      <c r="D92" s="95"/>
      <c r="E92" s="56"/>
      <c r="F92" s="103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2"/>
      <c r="AP92" s="17"/>
      <c r="AQ92" s="12">
        <f>DJ92</f>
        <v>1000</v>
      </c>
      <c r="AR92" s="17"/>
      <c r="AS92" s="126">
        <f t="shared" ref="AS92:AS155" si="311">DI92</f>
        <v>2</v>
      </c>
      <c r="AT92" s="56">
        <v>4</v>
      </c>
      <c r="AU92" s="50">
        <v>2</v>
      </c>
      <c r="AV92" s="12">
        <v>1</v>
      </c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7"/>
      <c r="CF92" s="17"/>
      <c r="CG92" s="17">
        <v>2</v>
      </c>
      <c r="CH92" s="17"/>
      <c r="CI92" s="17"/>
      <c r="CJ92" s="17"/>
      <c r="CK92" s="17"/>
      <c r="CL92" s="17"/>
      <c r="CM92" s="17">
        <v>1</v>
      </c>
      <c r="CN92" s="17"/>
      <c r="CO92" s="17">
        <v>1</v>
      </c>
      <c r="CP92" s="12"/>
      <c r="CQ92" s="17"/>
      <c r="CR92" s="17"/>
      <c r="CS92" s="17"/>
      <c r="CT92" s="17">
        <v>1</v>
      </c>
      <c r="CU92" s="17"/>
      <c r="CV92" s="12"/>
      <c r="CW92" s="17"/>
      <c r="CX92" s="17"/>
      <c r="CY92" s="17"/>
      <c r="CZ92" s="17"/>
      <c r="DA92" s="17"/>
      <c r="DB92" s="17"/>
      <c r="DC92" s="17"/>
      <c r="DD92" s="17"/>
      <c r="DE92" s="12"/>
      <c r="DF92" s="17"/>
      <c r="DG92" s="17"/>
      <c r="DH92" s="17"/>
      <c r="DI92" s="36">
        <f t="shared" si="300"/>
        <v>2</v>
      </c>
      <c r="DJ92" s="12">
        <f>DI92*500</f>
        <v>1000</v>
      </c>
      <c r="DK92" s="12">
        <f t="shared" si="306"/>
        <v>2</v>
      </c>
      <c r="DL92" s="12">
        <f>DK92*500</f>
        <v>1000</v>
      </c>
      <c r="DM92" s="12">
        <f t="shared" si="307"/>
        <v>2</v>
      </c>
      <c r="DN92" s="12">
        <f>DM92*500</f>
        <v>1000</v>
      </c>
      <c r="DO92" s="12">
        <f t="shared" si="308"/>
        <v>1</v>
      </c>
      <c r="DP92" s="12">
        <f>DO92*500</f>
        <v>500</v>
      </c>
      <c r="DQ92" s="12">
        <f t="shared" si="309"/>
        <v>0</v>
      </c>
      <c r="DR92" s="12">
        <f>DQ92*500</f>
        <v>0</v>
      </c>
      <c r="DS92" s="12">
        <f t="shared" si="310"/>
        <v>5</v>
      </c>
      <c r="DT92" s="12">
        <f>DS92*500</f>
        <v>2500</v>
      </c>
    </row>
    <row r="93" spans="1:129" ht="14.25" customHeight="1">
      <c r="A93" s="30">
        <v>89</v>
      </c>
      <c r="B93" s="19" t="s">
        <v>128</v>
      </c>
      <c r="C93" s="15" t="s">
        <v>32</v>
      </c>
      <c r="D93" s="95"/>
      <c r="E93" s="56">
        <v>0</v>
      </c>
      <c r="F93" s="103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2">
        <f t="shared" ref="AO93:AO113" si="312">E93+F93+G93+H93+I93-J93-K93-L93-M93-N93-O93-P93-Q93-R93-S93-T93-U93-V93-W93-X93-Y93-Z93-AA93-AB93-AC93-AD93-AE93-AF93-AG93-AH93-AI93-AJ93-AK93-AL93-AM93-AN93</f>
        <v>0</v>
      </c>
      <c r="AP93" s="17">
        <f>AO93*2271</f>
        <v>0</v>
      </c>
      <c r="AQ93" s="12">
        <f t="shared" ref="AQ93:AQ108" si="313">AP93+DJ93</f>
        <v>61317</v>
      </c>
      <c r="AR93" s="17"/>
      <c r="AS93" s="126">
        <f t="shared" si="311"/>
        <v>27</v>
      </c>
      <c r="AT93" s="56">
        <v>46</v>
      </c>
      <c r="AU93" s="50">
        <v>4</v>
      </c>
      <c r="AV93" s="12">
        <v>3</v>
      </c>
      <c r="AW93" s="12"/>
      <c r="AX93" s="12"/>
      <c r="AY93" s="12">
        <f>J93*6</f>
        <v>0</v>
      </c>
      <c r="AZ93" s="12">
        <f t="shared" ref="AZ93:CC93" si="314">K93*6</f>
        <v>0</v>
      </c>
      <c r="BA93" s="12">
        <f t="shared" si="314"/>
        <v>0</v>
      </c>
      <c r="BB93" s="12">
        <f t="shared" si="314"/>
        <v>0</v>
      </c>
      <c r="BC93" s="12">
        <f t="shared" si="314"/>
        <v>0</v>
      </c>
      <c r="BD93" s="12">
        <f t="shared" si="314"/>
        <v>0</v>
      </c>
      <c r="BE93" s="12">
        <f t="shared" si="314"/>
        <v>0</v>
      </c>
      <c r="BF93" s="12">
        <f t="shared" si="314"/>
        <v>0</v>
      </c>
      <c r="BG93" s="12">
        <f t="shared" si="314"/>
        <v>0</v>
      </c>
      <c r="BH93" s="12">
        <f t="shared" si="314"/>
        <v>0</v>
      </c>
      <c r="BI93" s="12">
        <f t="shared" si="314"/>
        <v>0</v>
      </c>
      <c r="BJ93" s="12">
        <f t="shared" si="314"/>
        <v>0</v>
      </c>
      <c r="BK93" s="12">
        <f t="shared" si="314"/>
        <v>0</v>
      </c>
      <c r="BL93" s="12">
        <f t="shared" si="314"/>
        <v>0</v>
      </c>
      <c r="BM93" s="12">
        <f t="shared" si="314"/>
        <v>0</v>
      </c>
      <c r="BN93" s="12">
        <f t="shared" si="314"/>
        <v>0</v>
      </c>
      <c r="BO93" s="12">
        <f t="shared" si="314"/>
        <v>0</v>
      </c>
      <c r="BP93" s="12">
        <f t="shared" si="314"/>
        <v>0</v>
      </c>
      <c r="BQ93" s="12">
        <f t="shared" si="314"/>
        <v>0</v>
      </c>
      <c r="BR93" s="12">
        <f t="shared" si="314"/>
        <v>0</v>
      </c>
      <c r="BS93" s="12">
        <f t="shared" si="314"/>
        <v>0</v>
      </c>
      <c r="BT93" s="12">
        <f t="shared" si="314"/>
        <v>0</v>
      </c>
      <c r="BU93" s="12">
        <f t="shared" si="314"/>
        <v>0</v>
      </c>
      <c r="BV93" s="12">
        <f t="shared" si="314"/>
        <v>0</v>
      </c>
      <c r="BW93" s="12">
        <f t="shared" si="314"/>
        <v>0</v>
      </c>
      <c r="BX93" s="12">
        <f t="shared" si="314"/>
        <v>0</v>
      </c>
      <c r="BY93" s="12">
        <f t="shared" si="314"/>
        <v>0</v>
      </c>
      <c r="BZ93" s="12">
        <f t="shared" si="314"/>
        <v>0</v>
      </c>
      <c r="CA93" s="12">
        <f t="shared" si="314"/>
        <v>0</v>
      </c>
      <c r="CB93" s="12">
        <f t="shared" si="314"/>
        <v>0</v>
      </c>
      <c r="CC93" s="12">
        <f t="shared" si="314"/>
        <v>0</v>
      </c>
      <c r="CD93" s="12">
        <v>8</v>
      </c>
      <c r="CE93" s="17"/>
      <c r="CF93" s="17">
        <v>6</v>
      </c>
      <c r="CG93" s="17">
        <v>2</v>
      </c>
      <c r="CH93" s="17">
        <v>10</v>
      </c>
      <c r="CI93" s="17"/>
      <c r="CJ93" s="17">
        <v>6</v>
      </c>
      <c r="CK93" s="17">
        <v>4</v>
      </c>
      <c r="CL93" s="17"/>
      <c r="CM93" s="17"/>
      <c r="CN93" s="17">
        <v>6</v>
      </c>
      <c r="CO93" s="17">
        <v>10</v>
      </c>
      <c r="CP93" s="12"/>
      <c r="CQ93" s="17"/>
      <c r="CR93" s="17"/>
      <c r="CS93" s="17"/>
      <c r="CT93" s="17">
        <v>9</v>
      </c>
      <c r="CU93" s="17"/>
      <c r="CV93" s="12"/>
      <c r="CW93" s="17"/>
      <c r="CX93" s="17"/>
      <c r="CY93" s="17"/>
      <c r="CZ93" s="17"/>
      <c r="DA93" s="17"/>
      <c r="DB93" s="17"/>
      <c r="DC93" s="17"/>
      <c r="DD93" s="17"/>
      <c r="DE93" s="12"/>
      <c r="DF93" s="17"/>
      <c r="DG93" s="17"/>
      <c r="DH93" s="17"/>
      <c r="DI93" s="36">
        <f>(AT93+SUM(AU93:AX93)*6+SUM(AY93:CC93)-SUM(CD93:DH93))</f>
        <v>27</v>
      </c>
      <c r="DJ93" s="12">
        <f>DI93*2271</f>
        <v>61317</v>
      </c>
      <c r="DK93" s="12">
        <f t="shared" ref="DK93:DK113" si="315">SUM(CD93:CJ93)</f>
        <v>32</v>
      </c>
      <c r="DL93" s="12">
        <f>DK93*2271</f>
        <v>72672</v>
      </c>
      <c r="DM93" s="12">
        <f t="shared" ref="DM93:DM113" si="316">SUM(CK93:CQ93)</f>
        <v>20</v>
      </c>
      <c r="DN93" s="12">
        <f>DM93*2271</f>
        <v>45420</v>
      </c>
      <c r="DO93" s="12">
        <f t="shared" ref="DO93:DO113" si="317">SUM(CR93:CX93)</f>
        <v>9</v>
      </c>
      <c r="DP93" s="12">
        <f>DO93*2271</f>
        <v>20439</v>
      </c>
      <c r="DQ93" s="12">
        <f t="shared" ref="DQ93:DQ113" si="318">SUM(CY93:DH93)</f>
        <v>0</v>
      </c>
      <c r="DR93" s="12">
        <f>DQ93*2271</f>
        <v>0</v>
      </c>
      <c r="DS93" s="12">
        <f t="shared" ref="DS93:DS113" si="319">DK93+DM93+DO93+DQ93</f>
        <v>61</v>
      </c>
      <c r="DT93" s="12">
        <f>DS93*2271</f>
        <v>138531</v>
      </c>
    </row>
    <row r="94" spans="1:129" ht="14.25" customHeight="1">
      <c r="A94" s="30">
        <v>90</v>
      </c>
      <c r="B94" s="19" t="s">
        <v>129</v>
      </c>
      <c r="C94" s="15" t="s">
        <v>32</v>
      </c>
      <c r="D94" s="95"/>
      <c r="E94" s="56">
        <v>0</v>
      </c>
      <c r="F94" s="103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2">
        <f t="shared" si="312"/>
        <v>0</v>
      </c>
      <c r="AP94" s="17">
        <f>AO94*500</f>
        <v>0</v>
      </c>
      <c r="AQ94" s="12">
        <f t="shared" si="313"/>
        <v>22000</v>
      </c>
      <c r="AR94" s="17"/>
      <c r="AS94" s="126">
        <f t="shared" si="311"/>
        <v>44</v>
      </c>
      <c r="AT94" s="56">
        <v>47</v>
      </c>
      <c r="AU94" s="50">
        <v>5</v>
      </c>
      <c r="AV94" s="12"/>
      <c r="AW94" s="12"/>
      <c r="AX94" s="36"/>
      <c r="AY94" s="12">
        <f>J94*11</f>
        <v>0</v>
      </c>
      <c r="AZ94" s="12">
        <f t="shared" ref="AZ94:CC94" si="320">K94*11</f>
        <v>0</v>
      </c>
      <c r="BA94" s="12">
        <f t="shared" si="320"/>
        <v>0</v>
      </c>
      <c r="BB94" s="12">
        <f t="shared" si="320"/>
        <v>0</v>
      </c>
      <c r="BC94" s="12">
        <f t="shared" si="320"/>
        <v>0</v>
      </c>
      <c r="BD94" s="12">
        <f t="shared" si="320"/>
        <v>0</v>
      </c>
      <c r="BE94" s="12">
        <f t="shared" si="320"/>
        <v>0</v>
      </c>
      <c r="BF94" s="12">
        <f t="shared" si="320"/>
        <v>0</v>
      </c>
      <c r="BG94" s="12">
        <f t="shared" si="320"/>
        <v>0</v>
      </c>
      <c r="BH94" s="12">
        <f t="shared" si="320"/>
        <v>0</v>
      </c>
      <c r="BI94" s="12">
        <f t="shared" si="320"/>
        <v>0</v>
      </c>
      <c r="BJ94" s="12">
        <f t="shared" si="320"/>
        <v>0</v>
      </c>
      <c r="BK94" s="12">
        <f t="shared" si="320"/>
        <v>0</v>
      </c>
      <c r="BL94" s="12">
        <f t="shared" si="320"/>
        <v>0</v>
      </c>
      <c r="BM94" s="12">
        <f t="shared" si="320"/>
        <v>0</v>
      </c>
      <c r="BN94" s="12">
        <f t="shared" si="320"/>
        <v>0</v>
      </c>
      <c r="BO94" s="12">
        <f t="shared" si="320"/>
        <v>0</v>
      </c>
      <c r="BP94" s="12">
        <f t="shared" si="320"/>
        <v>0</v>
      </c>
      <c r="BQ94" s="12">
        <f t="shared" si="320"/>
        <v>0</v>
      </c>
      <c r="BR94" s="12">
        <f t="shared" si="320"/>
        <v>0</v>
      </c>
      <c r="BS94" s="12">
        <f t="shared" si="320"/>
        <v>0</v>
      </c>
      <c r="BT94" s="12">
        <f t="shared" si="320"/>
        <v>0</v>
      </c>
      <c r="BU94" s="12">
        <f t="shared" si="320"/>
        <v>0</v>
      </c>
      <c r="BV94" s="12">
        <f t="shared" si="320"/>
        <v>0</v>
      </c>
      <c r="BW94" s="12">
        <f t="shared" si="320"/>
        <v>0</v>
      </c>
      <c r="BX94" s="12">
        <f t="shared" si="320"/>
        <v>0</v>
      </c>
      <c r="BY94" s="12">
        <f t="shared" si="320"/>
        <v>0</v>
      </c>
      <c r="BZ94" s="12">
        <f t="shared" si="320"/>
        <v>0</v>
      </c>
      <c r="CA94" s="12">
        <f t="shared" si="320"/>
        <v>0</v>
      </c>
      <c r="CB94" s="12">
        <f t="shared" si="320"/>
        <v>0</v>
      </c>
      <c r="CC94" s="12">
        <f t="shared" si="320"/>
        <v>0</v>
      </c>
      <c r="CD94" s="12">
        <v>8</v>
      </c>
      <c r="CE94" s="17"/>
      <c r="CF94" s="17">
        <v>10</v>
      </c>
      <c r="CG94" s="17"/>
      <c r="CH94" s="17">
        <v>5</v>
      </c>
      <c r="CI94" s="17"/>
      <c r="CJ94" s="17"/>
      <c r="CK94" s="17">
        <v>8</v>
      </c>
      <c r="CL94" s="17"/>
      <c r="CM94" s="17"/>
      <c r="CN94" s="17">
        <v>8</v>
      </c>
      <c r="CO94" s="17">
        <v>10</v>
      </c>
      <c r="CP94" s="12"/>
      <c r="CQ94" s="17"/>
      <c r="CR94" s="17"/>
      <c r="CS94" s="17"/>
      <c r="CT94" s="17">
        <v>9</v>
      </c>
      <c r="CU94" s="17"/>
      <c r="CV94" s="12"/>
      <c r="CW94" s="17"/>
      <c r="CX94" s="17"/>
      <c r="CY94" s="17"/>
      <c r="CZ94" s="17"/>
      <c r="DA94" s="17"/>
      <c r="DB94" s="17"/>
      <c r="DC94" s="17"/>
      <c r="DD94" s="17"/>
      <c r="DE94" s="12"/>
      <c r="DF94" s="17"/>
      <c r="DG94" s="17"/>
      <c r="DH94" s="17"/>
      <c r="DI94" s="36">
        <f>(AT94+SUM(AU94:AX94)*11+SUM(AY94:CC94)-SUM(CD94:DH94))</f>
        <v>44</v>
      </c>
      <c r="DJ94" s="12">
        <f>DI94*500</f>
        <v>22000</v>
      </c>
      <c r="DK94" s="12">
        <f t="shared" si="315"/>
        <v>23</v>
      </c>
      <c r="DL94" s="12">
        <f>DK94*500</f>
        <v>11500</v>
      </c>
      <c r="DM94" s="12">
        <f t="shared" si="316"/>
        <v>26</v>
      </c>
      <c r="DN94" s="12">
        <f>DM94*500</f>
        <v>13000</v>
      </c>
      <c r="DO94" s="12">
        <f t="shared" si="317"/>
        <v>9</v>
      </c>
      <c r="DP94" s="12">
        <f>DO94*500</f>
        <v>4500</v>
      </c>
      <c r="DQ94" s="12">
        <f t="shared" si="318"/>
        <v>0</v>
      </c>
      <c r="DR94" s="12">
        <f>DQ94*500</f>
        <v>0</v>
      </c>
      <c r="DS94" s="12">
        <f t="shared" si="319"/>
        <v>58</v>
      </c>
      <c r="DT94" s="12">
        <f>DS94*500</f>
        <v>29000</v>
      </c>
    </row>
    <row r="95" spans="1:129" ht="14.25" customHeight="1">
      <c r="A95" s="30">
        <v>91</v>
      </c>
      <c r="B95" s="19" t="s">
        <v>130</v>
      </c>
      <c r="C95" s="15" t="s">
        <v>32</v>
      </c>
      <c r="D95" s="95"/>
      <c r="E95" s="56">
        <v>0</v>
      </c>
      <c r="F95" s="103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2">
        <f t="shared" si="312"/>
        <v>0</v>
      </c>
      <c r="AP95" s="17">
        <f>AO95*40</f>
        <v>0</v>
      </c>
      <c r="AQ95" s="12">
        <f t="shared" si="313"/>
        <v>440</v>
      </c>
      <c r="AR95" s="17"/>
      <c r="AS95" s="126">
        <f>DI95</f>
        <v>11</v>
      </c>
      <c r="AT95" s="56">
        <v>27</v>
      </c>
      <c r="AU95" s="50">
        <v>15</v>
      </c>
      <c r="AV95" s="12"/>
      <c r="AW95" s="12"/>
      <c r="AX95" s="12"/>
      <c r="AY95" s="12">
        <f>J95*40</f>
        <v>0</v>
      </c>
      <c r="AZ95" s="12">
        <f t="shared" ref="AZ95:CC95" si="321">K95*40</f>
        <v>0</v>
      </c>
      <c r="BA95" s="12">
        <f t="shared" si="321"/>
        <v>0</v>
      </c>
      <c r="BB95" s="12">
        <f t="shared" si="321"/>
        <v>0</v>
      </c>
      <c r="BC95" s="12">
        <f t="shared" si="321"/>
        <v>0</v>
      </c>
      <c r="BD95" s="12">
        <f t="shared" si="321"/>
        <v>0</v>
      </c>
      <c r="BE95" s="12">
        <f t="shared" si="321"/>
        <v>0</v>
      </c>
      <c r="BF95" s="12">
        <f t="shared" si="321"/>
        <v>0</v>
      </c>
      <c r="BG95" s="12">
        <f t="shared" si="321"/>
        <v>0</v>
      </c>
      <c r="BH95" s="12">
        <f t="shared" si="321"/>
        <v>0</v>
      </c>
      <c r="BI95" s="12">
        <f t="shared" si="321"/>
        <v>0</v>
      </c>
      <c r="BJ95" s="12">
        <f t="shared" si="321"/>
        <v>0</v>
      </c>
      <c r="BK95" s="12">
        <f t="shared" si="321"/>
        <v>0</v>
      </c>
      <c r="BL95" s="12">
        <f t="shared" si="321"/>
        <v>0</v>
      </c>
      <c r="BM95" s="12">
        <f t="shared" si="321"/>
        <v>0</v>
      </c>
      <c r="BN95" s="12">
        <f t="shared" si="321"/>
        <v>0</v>
      </c>
      <c r="BO95" s="12">
        <f t="shared" si="321"/>
        <v>0</v>
      </c>
      <c r="BP95" s="12">
        <f t="shared" si="321"/>
        <v>0</v>
      </c>
      <c r="BQ95" s="12">
        <f t="shared" si="321"/>
        <v>0</v>
      </c>
      <c r="BR95" s="12">
        <f t="shared" si="321"/>
        <v>0</v>
      </c>
      <c r="BS95" s="12">
        <f t="shared" si="321"/>
        <v>0</v>
      </c>
      <c r="BT95" s="12">
        <f t="shared" si="321"/>
        <v>0</v>
      </c>
      <c r="BU95" s="12">
        <f t="shared" si="321"/>
        <v>0</v>
      </c>
      <c r="BV95" s="12">
        <f t="shared" si="321"/>
        <v>0</v>
      </c>
      <c r="BW95" s="12">
        <f t="shared" si="321"/>
        <v>0</v>
      </c>
      <c r="BX95" s="12">
        <f t="shared" si="321"/>
        <v>0</v>
      </c>
      <c r="BY95" s="12">
        <f t="shared" si="321"/>
        <v>0</v>
      </c>
      <c r="BZ95" s="12">
        <f t="shared" si="321"/>
        <v>0</v>
      </c>
      <c r="CA95" s="12">
        <f t="shared" si="321"/>
        <v>0</v>
      </c>
      <c r="CB95" s="12">
        <f t="shared" si="321"/>
        <v>0</v>
      </c>
      <c r="CC95" s="12">
        <f t="shared" si="321"/>
        <v>0</v>
      </c>
      <c r="CD95" s="12">
        <v>6</v>
      </c>
      <c r="CE95" s="17"/>
      <c r="CF95" s="17"/>
      <c r="CG95" s="17">
        <v>6</v>
      </c>
      <c r="CH95" s="17"/>
      <c r="CI95" s="17"/>
      <c r="CJ95" s="17"/>
      <c r="CK95" s="17">
        <v>8</v>
      </c>
      <c r="CL95" s="17"/>
      <c r="CM95" s="17"/>
      <c r="CN95" s="17">
        <v>2</v>
      </c>
      <c r="CO95" s="17">
        <v>4</v>
      </c>
      <c r="CP95" s="12"/>
      <c r="CQ95" s="17"/>
      <c r="CR95" s="17"/>
      <c r="CS95" s="17"/>
      <c r="CT95" s="17">
        <v>5</v>
      </c>
      <c r="CU95" s="17"/>
      <c r="CV95" s="12"/>
      <c r="CW95" s="17"/>
      <c r="CX95" s="17"/>
      <c r="CY95" s="17"/>
      <c r="CZ95" s="17"/>
      <c r="DA95" s="17"/>
      <c r="DB95" s="17"/>
      <c r="DC95" s="17"/>
      <c r="DD95" s="17"/>
      <c r="DE95" s="12"/>
      <c r="DF95" s="17"/>
      <c r="DG95" s="17"/>
      <c r="DH95" s="17"/>
      <c r="DI95" s="36">
        <f>(AT95+SUM(AU95:AX95)+SUM(AY95:CC95)-SUM(CD95:DH95))</f>
        <v>11</v>
      </c>
      <c r="DJ95" s="12">
        <f>DI95*40</f>
        <v>440</v>
      </c>
      <c r="DK95" s="12">
        <f t="shared" si="315"/>
        <v>12</v>
      </c>
      <c r="DL95" s="12">
        <f>DK95*40</f>
        <v>480</v>
      </c>
      <c r="DM95" s="12">
        <f t="shared" si="316"/>
        <v>14</v>
      </c>
      <c r="DN95" s="12">
        <f>DM95*40</f>
        <v>560</v>
      </c>
      <c r="DO95" s="12">
        <f t="shared" si="317"/>
        <v>5</v>
      </c>
      <c r="DP95" s="12">
        <f>DO95*40</f>
        <v>200</v>
      </c>
      <c r="DQ95" s="12">
        <f t="shared" si="318"/>
        <v>0</v>
      </c>
      <c r="DR95" s="12">
        <f>DQ95*40</f>
        <v>0</v>
      </c>
      <c r="DS95" s="12">
        <f t="shared" si="319"/>
        <v>31</v>
      </c>
      <c r="DT95" s="12">
        <f>DS95*40</f>
        <v>1240</v>
      </c>
    </row>
    <row r="96" spans="1:129" ht="14.25" customHeight="1">
      <c r="A96" s="30">
        <v>92</v>
      </c>
      <c r="B96" s="19" t="s">
        <v>131</v>
      </c>
      <c r="C96" s="15" t="s">
        <v>32</v>
      </c>
      <c r="D96" s="95"/>
      <c r="E96" s="56">
        <v>0</v>
      </c>
      <c r="F96" s="103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2">
        <f t="shared" si="312"/>
        <v>0</v>
      </c>
      <c r="AP96" s="17">
        <f>AO96*9</f>
        <v>0</v>
      </c>
      <c r="AQ96" s="12">
        <f t="shared" si="313"/>
        <v>9</v>
      </c>
      <c r="AR96" s="20"/>
      <c r="AS96" s="126">
        <f t="shared" si="311"/>
        <v>1</v>
      </c>
      <c r="AT96" s="56">
        <v>2</v>
      </c>
      <c r="AU96" s="50"/>
      <c r="AV96" s="12"/>
      <c r="AW96" s="12"/>
      <c r="AX96" s="12"/>
      <c r="AY96" s="12">
        <f>J96*9</f>
        <v>0</v>
      </c>
      <c r="AZ96" s="12">
        <f t="shared" ref="AZ96:CC96" si="322">K96*9</f>
        <v>0</v>
      </c>
      <c r="BA96" s="12">
        <f t="shared" si="322"/>
        <v>0</v>
      </c>
      <c r="BB96" s="12">
        <f t="shared" si="322"/>
        <v>0</v>
      </c>
      <c r="BC96" s="12">
        <f t="shared" si="322"/>
        <v>0</v>
      </c>
      <c r="BD96" s="12">
        <f t="shared" si="322"/>
        <v>0</v>
      </c>
      <c r="BE96" s="12">
        <f t="shared" si="322"/>
        <v>0</v>
      </c>
      <c r="BF96" s="12">
        <f t="shared" si="322"/>
        <v>0</v>
      </c>
      <c r="BG96" s="12">
        <f t="shared" si="322"/>
        <v>0</v>
      </c>
      <c r="BH96" s="12">
        <f t="shared" si="322"/>
        <v>0</v>
      </c>
      <c r="BI96" s="12">
        <f t="shared" si="322"/>
        <v>0</v>
      </c>
      <c r="BJ96" s="12">
        <f t="shared" si="322"/>
        <v>0</v>
      </c>
      <c r="BK96" s="12">
        <f t="shared" si="322"/>
        <v>0</v>
      </c>
      <c r="BL96" s="12">
        <f t="shared" si="322"/>
        <v>0</v>
      </c>
      <c r="BM96" s="12">
        <f t="shared" si="322"/>
        <v>0</v>
      </c>
      <c r="BN96" s="12">
        <f t="shared" si="322"/>
        <v>0</v>
      </c>
      <c r="BO96" s="12">
        <f t="shared" si="322"/>
        <v>0</v>
      </c>
      <c r="BP96" s="12">
        <f t="shared" si="322"/>
        <v>0</v>
      </c>
      <c r="BQ96" s="12">
        <f t="shared" si="322"/>
        <v>0</v>
      </c>
      <c r="BR96" s="12">
        <f t="shared" si="322"/>
        <v>0</v>
      </c>
      <c r="BS96" s="12">
        <f t="shared" si="322"/>
        <v>0</v>
      </c>
      <c r="BT96" s="12">
        <f t="shared" si="322"/>
        <v>0</v>
      </c>
      <c r="BU96" s="12">
        <f t="shared" si="322"/>
        <v>0</v>
      </c>
      <c r="BV96" s="12">
        <f t="shared" si="322"/>
        <v>0</v>
      </c>
      <c r="BW96" s="12">
        <f t="shared" si="322"/>
        <v>0</v>
      </c>
      <c r="BX96" s="12">
        <f t="shared" si="322"/>
        <v>0</v>
      </c>
      <c r="BY96" s="12">
        <f t="shared" si="322"/>
        <v>0</v>
      </c>
      <c r="BZ96" s="12">
        <f t="shared" si="322"/>
        <v>0</v>
      </c>
      <c r="CA96" s="12">
        <f t="shared" si="322"/>
        <v>0</v>
      </c>
      <c r="CB96" s="12">
        <f t="shared" si="322"/>
        <v>0</v>
      </c>
      <c r="CC96" s="12">
        <f t="shared" si="322"/>
        <v>0</v>
      </c>
      <c r="CD96" s="12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2"/>
      <c r="CQ96" s="17"/>
      <c r="CR96" s="17"/>
      <c r="CS96" s="17"/>
      <c r="CT96" s="17">
        <v>1</v>
      </c>
      <c r="CU96" s="17"/>
      <c r="CV96" s="12"/>
      <c r="CW96" s="17"/>
      <c r="CX96" s="17"/>
      <c r="CY96" s="17"/>
      <c r="CZ96" s="17"/>
      <c r="DA96" s="17"/>
      <c r="DB96" s="17"/>
      <c r="DC96" s="17"/>
      <c r="DD96" s="17"/>
      <c r="DE96" s="12"/>
      <c r="DF96" s="17"/>
      <c r="DG96" s="17"/>
      <c r="DH96" s="17"/>
      <c r="DI96" s="36">
        <f>(AT96+SUM(AU96:AX96)+SUM(AY96:CC96)-SUM(CD96:DH96))</f>
        <v>1</v>
      </c>
      <c r="DJ96" s="12">
        <f>DI96*9</f>
        <v>9</v>
      </c>
      <c r="DK96" s="12">
        <f t="shared" si="315"/>
        <v>0</v>
      </c>
      <c r="DL96" s="12">
        <f>DK96*9</f>
        <v>0</v>
      </c>
      <c r="DM96" s="12">
        <f t="shared" si="316"/>
        <v>0</v>
      </c>
      <c r="DN96" s="12">
        <f>DM96*9</f>
        <v>0</v>
      </c>
      <c r="DO96" s="12">
        <f t="shared" si="317"/>
        <v>1</v>
      </c>
      <c r="DP96" s="12">
        <f>DO96*9</f>
        <v>9</v>
      </c>
      <c r="DQ96" s="12">
        <f t="shared" si="318"/>
        <v>0</v>
      </c>
      <c r="DR96" s="12">
        <f>DQ96*9</f>
        <v>0</v>
      </c>
      <c r="DS96" s="12">
        <f t="shared" si="319"/>
        <v>1</v>
      </c>
      <c r="DT96" s="12">
        <f>DS96*9</f>
        <v>9</v>
      </c>
    </row>
    <row r="97" spans="1:124" ht="14.25" customHeight="1">
      <c r="A97" s="30">
        <v>93</v>
      </c>
      <c r="B97" s="19" t="s">
        <v>132</v>
      </c>
      <c r="C97" s="15" t="s">
        <v>32</v>
      </c>
      <c r="D97" s="95"/>
      <c r="E97" s="56">
        <v>0</v>
      </c>
      <c r="F97" s="103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2">
        <f t="shared" si="312"/>
        <v>0</v>
      </c>
      <c r="AP97" s="17">
        <f>AO97*16</f>
        <v>0</v>
      </c>
      <c r="AQ97" s="12">
        <f t="shared" si="313"/>
        <v>48</v>
      </c>
      <c r="AR97" s="20"/>
      <c r="AS97" s="126">
        <f t="shared" si="311"/>
        <v>3</v>
      </c>
      <c r="AT97" s="56">
        <v>3</v>
      </c>
      <c r="AU97" s="50"/>
      <c r="AV97" s="12"/>
      <c r="AW97" s="12"/>
      <c r="AX97" s="12"/>
      <c r="AY97" s="12">
        <f>J97*16</f>
        <v>0</v>
      </c>
      <c r="AZ97" s="12">
        <f t="shared" ref="AZ97:CC97" si="323">K97*16</f>
        <v>0</v>
      </c>
      <c r="BA97" s="12">
        <f t="shared" si="323"/>
        <v>0</v>
      </c>
      <c r="BB97" s="12">
        <f t="shared" si="323"/>
        <v>0</v>
      </c>
      <c r="BC97" s="12">
        <f t="shared" si="323"/>
        <v>0</v>
      </c>
      <c r="BD97" s="12">
        <f t="shared" si="323"/>
        <v>0</v>
      </c>
      <c r="BE97" s="12">
        <f t="shared" si="323"/>
        <v>0</v>
      </c>
      <c r="BF97" s="12">
        <f t="shared" si="323"/>
        <v>0</v>
      </c>
      <c r="BG97" s="12">
        <f t="shared" si="323"/>
        <v>0</v>
      </c>
      <c r="BH97" s="12">
        <f t="shared" si="323"/>
        <v>0</v>
      </c>
      <c r="BI97" s="12">
        <f t="shared" si="323"/>
        <v>0</v>
      </c>
      <c r="BJ97" s="12">
        <f t="shared" si="323"/>
        <v>0</v>
      </c>
      <c r="BK97" s="12">
        <f t="shared" si="323"/>
        <v>0</v>
      </c>
      <c r="BL97" s="12">
        <f t="shared" si="323"/>
        <v>0</v>
      </c>
      <c r="BM97" s="12">
        <f t="shared" si="323"/>
        <v>0</v>
      </c>
      <c r="BN97" s="12">
        <f t="shared" si="323"/>
        <v>0</v>
      </c>
      <c r="BO97" s="12">
        <f t="shared" si="323"/>
        <v>0</v>
      </c>
      <c r="BP97" s="12">
        <f t="shared" si="323"/>
        <v>0</v>
      </c>
      <c r="BQ97" s="12">
        <f t="shared" si="323"/>
        <v>0</v>
      </c>
      <c r="BR97" s="12">
        <f t="shared" si="323"/>
        <v>0</v>
      </c>
      <c r="BS97" s="12">
        <f t="shared" si="323"/>
        <v>0</v>
      </c>
      <c r="BT97" s="12">
        <f t="shared" si="323"/>
        <v>0</v>
      </c>
      <c r="BU97" s="12">
        <f t="shared" si="323"/>
        <v>0</v>
      </c>
      <c r="BV97" s="12">
        <f t="shared" si="323"/>
        <v>0</v>
      </c>
      <c r="BW97" s="12">
        <f t="shared" si="323"/>
        <v>0</v>
      </c>
      <c r="BX97" s="12">
        <f t="shared" si="323"/>
        <v>0</v>
      </c>
      <c r="BY97" s="12">
        <f t="shared" si="323"/>
        <v>0</v>
      </c>
      <c r="BZ97" s="12">
        <f t="shared" si="323"/>
        <v>0</v>
      </c>
      <c r="CA97" s="12">
        <f t="shared" si="323"/>
        <v>0</v>
      </c>
      <c r="CB97" s="12">
        <f t="shared" si="323"/>
        <v>0</v>
      </c>
      <c r="CC97" s="12">
        <f t="shared" si="323"/>
        <v>0</v>
      </c>
      <c r="CD97" s="12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2"/>
      <c r="CQ97" s="17"/>
      <c r="CR97" s="17"/>
      <c r="CS97" s="17"/>
      <c r="CT97" s="17"/>
      <c r="CU97" s="17"/>
      <c r="CV97" s="12"/>
      <c r="CW97" s="17"/>
      <c r="CX97" s="17"/>
      <c r="CY97" s="17"/>
      <c r="CZ97" s="17"/>
      <c r="DA97" s="17"/>
      <c r="DB97" s="17"/>
      <c r="DC97" s="17"/>
      <c r="DD97" s="17"/>
      <c r="DE97" s="12"/>
      <c r="DF97" s="17"/>
      <c r="DG97" s="17"/>
      <c r="DH97" s="17"/>
      <c r="DI97" s="36">
        <f>(AT97+SUM(AU97:AX97)+SUM(AY97:CC97)-SUM(CD97:DH97))</f>
        <v>3</v>
      </c>
      <c r="DJ97" s="12">
        <f>DI97*16</f>
        <v>48</v>
      </c>
      <c r="DK97" s="12">
        <f t="shared" si="315"/>
        <v>0</v>
      </c>
      <c r="DL97" s="12">
        <f>DK97*16</f>
        <v>0</v>
      </c>
      <c r="DM97" s="12">
        <f t="shared" si="316"/>
        <v>0</v>
      </c>
      <c r="DN97" s="12">
        <f>DM97*16</f>
        <v>0</v>
      </c>
      <c r="DO97" s="12">
        <f t="shared" si="317"/>
        <v>0</v>
      </c>
      <c r="DP97" s="12">
        <f>DO97*16</f>
        <v>0</v>
      </c>
      <c r="DQ97" s="12">
        <f t="shared" si="318"/>
        <v>0</v>
      </c>
      <c r="DR97" s="12">
        <f>DQ97*16</f>
        <v>0</v>
      </c>
      <c r="DS97" s="12">
        <f t="shared" si="319"/>
        <v>0</v>
      </c>
      <c r="DT97" s="12">
        <f>DS97*16</f>
        <v>0</v>
      </c>
    </row>
    <row r="98" spans="1:124" ht="14.25" customHeight="1">
      <c r="A98" s="30">
        <v>94</v>
      </c>
      <c r="B98" s="37" t="s">
        <v>133</v>
      </c>
      <c r="C98" s="15" t="s">
        <v>32</v>
      </c>
      <c r="D98" s="95"/>
      <c r="E98" s="56">
        <v>0</v>
      </c>
      <c r="F98" s="103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2">
        <f t="shared" si="312"/>
        <v>0</v>
      </c>
      <c r="AP98" s="17">
        <f t="shared" ref="AP98:AP99" si="324">AO98*1000</f>
        <v>0</v>
      </c>
      <c r="AQ98" s="12">
        <f t="shared" si="313"/>
        <v>7000</v>
      </c>
      <c r="AR98" s="17"/>
      <c r="AS98" s="126">
        <f t="shared" si="311"/>
        <v>7</v>
      </c>
      <c r="AT98" s="56">
        <v>18</v>
      </c>
      <c r="AU98" s="50"/>
      <c r="AV98" s="12"/>
      <c r="AW98" s="12"/>
      <c r="AX98" s="12"/>
      <c r="AY98" s="12">
        <f t="shared" ref="AY98:AY111" si="325">J98</f>
        <v>0</v>
      </c>
      <c r="AZ98" s="12">
        <f t="shared" ref="AZ98:AZ113" si="326">K98</f>
        <v>0</v>
      </c>
      <c r="BA98" s="12">
        <f t="shared" ref="BA98:BA113" si="327">L98</f>
        <v>0</v>
      </c>
      <c r="BB98" s="12">
        <f t="shared" ref="BB98:BB113" si="328">M98</f>
        <v>0</v>
      </c>
      <c r="BC98" s="12">
        <f t="shared" ref="BC98:BC113" si="329">N98</f>
        <v>0</v>
      </c>
      <c r="BD98" s="12">
        <f t="shared" ref="BD98:BD113" si="330">O98</f>
        <v>0</v>
      </c>
      <c r="BE98" s="12">
        <f t="shared" ref="BE98:BE113" si="331">P98</f>
        <v>0</v>
      </c>
      <c r="BF98" s="12">
        <f t="shared" ref="BF98:BF113" si="332">Q98</f>
        <v>0</v>
      </c>
      <c r="BG98" s="12">
        <f t="shared" ref="BG98:BG113" si="333">R98</f>
        <v>0</v>
      </c>
      <c r="BH98" s="12">
        <f t="shared" ref="BH98:BH113" si="334">S98</f>
        <v>0</v>
      </c>
      <c r="BI98" s="12">
        <f t="shared" ref="BI98:BI113" si="335">T98</f>
        <v>0</v>
      </c>
      <c r="BJ98" s="12">
        <f t="shared" ref="BJ98:BJ113" si="336">U98</f>
        <v>0</v>
      </c>
      <c r="BK98" s="12">
        <f t="shared" ref="BK98:BK113" si="337">V98</f>
        <v>0</v>
      </c>
      <c r="BL98" s="12">
        <f t="shared" ref="BL98:BL113" si="338">W98</f>
        <v>0</v>
      </c>
      <c r="BM98" s="12">
        <f t="shared" ref="BM98:BM113" si="339">X98</f>
        <v>0</v>
      </c>
      <c r="BN98" s="12">
        <f t="shared" ref="BN98:BN113" si="340">Y98</f>
        <v>0</v>
      </c>
      <c r="BO98" s="12">
        <f t="shared" ref="BO98:BO113" si="341">Z98</f>
        <v>0</v>
      </c>
      <c r="BP98" s="12">
        <f t="shared" ref="BP98:BP113" si="342">AA98</f>
        <v>0</v>
      </c>
      <c r="BQ98" s="12">
        <f t="shared" ref="BQ98:BQ113" si="343">AB98</f>
        <v>0</v>
      </c>
      <c r="BR98" s="12">
        <f t="shared" ref="BR98:BR113" si="344">AC98</f>
        <v>0</v>
      </c>
      <c r="BS98" s="12">
        <f t="shared" ref="BS98:BS113" si="345">AD98</f>
        <v>0</v>
      </c>
      <c r="BT98" s="12">
        <f t="shared" ref="BT98:BT113" si="346">AE98</f>
        <v>0</v>
      </c>
      <c r="BU98" s="12">
        <f t="shared" ref="BU98:BU113" si="347">AF98</f>
        <v>0</v>
      </c>
      <c r="BV98" s="12">
        <f t="shared" ref="BV98:BV113" si="348">AG98</f>
        <v>0</v>
      </c>
      <c r="BW98" s="12">
        <f t="shared" ref="BW98:BW113" si="349">AH98</f>
        <v>0</v>
      </c>
      <c r="BX98" s="12">
        <f t="shared" ref="BX98:BX113" si="350">AI98</f>
        <v>0</v>
      </c>
      <c r="BY98" s="12">
        <f t="shared" ref="BY98:BY113" si="351">AJ98</f>
        <v>0</v>
      </c>
      <c r="BZ98" s="12">
        <f t="shared" ref="BZ98:BZ113" si="352">AK98</f>
        <v>0</v>
      </c>
      <c r="CA98" s="12">
        <f t="shared" ref="CA98:CA113" si="353">AL98</f>
        <v>0</v>
      </c>
      <c r="CB98" s="12">
        <f t="shared" ref="CB98:CB113" si="354">AM98</f>
        <v>0</v>
      </c>
      <c r="CC98" s="12">
        <f t="shared" ref="CC98:CC113" si="355">AN98</f>
        <v>0</v>
      </c>
      <c r="CD98" s="12">
        <v>2</v>
      </c>
      <c r="CE98" s="17"/>
      <c r="CF98" s="17">
        <v>2</v>
      </c>
      <c r="CG98" s="17"/>
      <c r="CH98" s="17">
        <v>2</v>
      </c>
      <c r="CI98" s="17"/>
      <c r="CJ98" s="17"/>
      <c r="CK98" s="17"/>
      <c r="CL98" s="17"/>
      <c r="CM98" s="17"/>
      <c r="CN98" s="17">
        <v>2</v>
      </c>
      <c r="CO98" s="17">
        <v>1</v>
      </c>
      <c r="CP98" s="12"/>
      <c r="CQ98" s="17"/>
      <c r="CR98" s="17"/>
      <c r="CS98" s="17"/>
      <c r="CT98" s="17">
        <v>2</v>
      </c>
      <c r="CU98" s="17"/>
      <c r="CV98" s="12"/>
      <c r="CW98" s="17"/>
      <c r="CX98" s="17"/>
      <c r="CY98" s="17"/>
      <c r="CZ98" s="17"/>
      <c r="DA98" s="17"/>
      <c r="DB98" s="17"/>
      <c r="DC98" s="17"/>
      <c r="DD98" s="17"/>
      <c r="DE98" s="12"/>
      <c r="DF98" s="17"/>
      <c r="DG98" s="17"/>
      <c r="DH98" s="17"/>
      <c r="DI98" s="36">
        <f>(AT98+SUM(AU98:AX98)+SUM(AY98:CC98)-SUM(CD98:DH98))</f>
        <v>7</v>
      </c>
      <c r="DJ98" s="12">
        <f t="shared" ref="DJ98:DJ99" si="356">DI98*1000</f>
        <v>7000</v>
      </c>
      <c r="DK98" s="12">
        <f t="shared" si="315"/>
        <v>6</v>
      </c>
      <c r="DL98" s="12">
        <f t="shared" ref="DL98:DL99" si="357">DK98*1000</f>
        <v>6000</v>
      </c>
      <c r="DM98" s="12">
        <f t="shared" si="316"/>
        <v>3</v>
      </c>
      <c r="DN98" s="12">
        <f t="shared" ref="DN98:DN99" si="358">DM98*1000</f>
        <v>3000</v>
      </c>
      <c r="DO98" s="12">
        <f t="shared" si="317"/>
        <v>2</v>
      </c>
      <c r="DP98" s="12">
        <f t="shared" ref="DP98:DP99" si="359">DO98*1000</f>
        <v>2000</v>
      </c>
      <c r="DQ98" s="12">
        <f t="shared" si="318"/>
        <v>0</v>
      </c>
      <c r="DR98" s="12">
        <f t="shared" ref="DR98:DR99" si="360">DQ98*1000</f>
        <v>0</v>
      </c>
      <c r="DS98" s="12">
        <f t="shared" si="319"/>
        <v>11</v>
      </c>
      <c r="DT98" s="12">
        <f t="shared" ref="DT98:DT99" si="361">DS98*1000</f>
        <v>11000</v>
      </c>
    </row>
    <row r="99" spans="1:124" ht="14.25" customHeight="1">
      <c r="A99" s="30">
        <v>95</v>
      </c>
      <c r="B99" s="19" t="s">
        <v>134</v>
      </c>
      <c r="C99" s="15" t="s">
        <v>32</v>
      </c>
      <c r="D99" s="95"/>
      <c r="E99" s="56">
        <v>0</v>
      </c>
      <c r="F99" s="103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2">
        <f t="shared" si="312"/>
        <v>0</v>
      </c>
      <c r="AP99" s="17">
        <f t="shared" si="324"/>
        <v>0</v>
      </c>
      <c r="AQ99" s="12">
        <f t="shared" si="313"/>
        <v>1000</v>
      </c>
      <c r="AR99" s="20"/>
      <c r="AS99" s="126">
        <f t="shared" si="311"/>
        <v>1</v>
      </c>
      <c r="AT99" s="56">
        <v>7</v>
      </c>
      <c r="AU99" s="50"/>
      <c r="AV99" s="12"/>
      <c r="AW99" s="12"/>
      <c r="AX99" s="12"/>
      <c r="AY99" s="12">
        <f t="shared" si="325"/>
        <v>0</v>
      </c>
      <c r="AZ99" s="12">
        <f t="shared" si="326"/>
        <v>0</v>
      </c>
      <c r="BA99" s="12">
        <f t="shared" si="327"/>
        <v>0</v>
      </c>
      <c r="BB99" s="12">
        <f t="shared" si="328"/>
        <v>0</v>
      </c>
      <c r="BC99" s="12">
        <f t="shared" si="329"/>
        <v>0</v>
      </c>
      <c r="BD99" s="12">
        <f t="shared" si="330"/>
        <v>0</v>
      </c>
      <c r="BE99" s="12">
        <f t="shared" si="331"/>
        <v>0</v>
      </c>
      <c r="BF99" s="12">
        <f t="shared" si="332"/>
        <v>0</v>
      </c>
      <c r="BG99" s="12">
        <f t="shared" si="333"/>
        <v>0</v>
      </c>
      <c r="BH99" s="12">
        <f t="shared" si="334"/>
        <v>0</v>
      </c>
      <c r="BI99" s="12">
        <f t="shared" si="335"/>
        <v>0</v>
      </c>
      <c r="BJ99" s="12">
        <f t="shared" si="336"/>
        <v>0</v>
      </c>
      <c r="BK99" s="12">
        <f t="shared" si="337"/>
        <v>0</v>
      </c>
      <c r="BL99" s="12">
        <f t="shared" si="338"/>
        <v>0</v>
      </c>
      <c r="BM99" s="12">
        <f t="shared" si="339"/>
        <v>0</v>
      </c>
      <c r="BN99" s="12">
        <f t="shared" si="340"/>
        <v>0</v>
      </c>
      <c r="BO99" s="12">
        <f t="shared" si="341"/>
        <v>0</v>
      </c>
      <c r="BP99" s="12">
        <f t="shared" si="342"/>
        <v>0</v>
      </c>
      <c r="BQ99" s="12">
        <f t="shared" si="343"/>
        <v>0</v>
      </c>
      <c r="BR99" s="12">
        <f t="shared" si="344"/>
        <v>0</v>
      </c>
      <c r="BS99" s="12">
        <f t="shared" si="345"/>
        <v>0</v>
      </c>
      <c r="BT99" s="12">
        <f t="shared" si="346"/>
        <v>0</v>
      </c>
      <c r="BU99" s="12">
        <f t="shared" si="347"/>
        <v>0</v>
      </c>
      <c r="BV99" s="12">
        <f t="shared" si="348"/>
        <v>0</v>
      </c>
      <c r="BW99" s="12">
        <f t="shared" si="349"/>
        <v>0</v>
      </c>
      <c r="BX99" s="12">
        <f t="shared" si="350"/>
        <v>0</v>
      </c>
      <c r="BY99" s="12">
        <f t="shared" si="351"/>
        <v>0</v>
      </c>
      <c r="BZ99" s="12">
        <f t="shared" si="352"/>
        <v>0</v>
      </c>
      <c r="CA99" s="12">
        <f t="shared" si="353"/>
        <v>0</v>
      </c>
      <c r="CB99" s="12">
        <f t="shared" si="354"/>
        <v>0</v>
      </c>
      <c r="CC99" s="12">
        <f t="shared" si="355"/>
        <v>0</v>
      </c>
      <c r="CD99" s="12">
        <v>1</v>
      </c>
      <c r="CE99" s="17"/>
      <c r="CF99" s="17"/>
      <c r="CG99" s="17"/>
      <c r="CH99" s="17">
        <v>2</v>
      </c>
      <c r="CI99" s="17"/>
      <c r="CJ99" s="17"/>
      <c r="CK99" s="17"/>
      <c r="CL99" s="17"/>
      <c r="CM99" s="17"/>
      <c r="CN99" s="17">
        <v>2</v>
      </c>
      <c r="CO99" s="17"/>
      <c r="CP99" s="12"/>
      <c r="CQ99" s="17"/>
      <c r="CR99" s="17"/>
      <c r="CS99" s="17"/>
      <c r="CT99" s="17">
        <v>1</v>
      </c>
      <c r="CU99" s="17"/>
      <c r="CV99" s="12"/>
      <c r="CW99" s="17"/>
      <c r="CX99" s="17"/>
      <c r="CY99" s="17"/>
      <c r="CZ99" s="17"/>
      <c r="DA99" s="17"/>
      <c r="DB99" s="17"/>
      <c r="DC99" s="17"/>
      <c r="DD99" s="17"/>
      <c r="DE99" s="12"/>
      <c r="DF99" s="17"/>
      <c r="DG99" s="17"/>
      <c r="DH99" s="17"/>
      <c r="DI99" s="36">
        <f>(AT99+SUM(AU99:AX99)*10+SUM(AY99:CC99)-SUM(CD99:DH99))</f>
        <v>1</v>
      </c>
      <c r="DJ99" s="12">
        <f t="shared" si="356"/>
        <v>1000</v>
      </c>
      <c r="DK99" s="12">
        <f t="shared" si="315"/>
        <v>3</v>
      </c>
      <c r="DL99" s="12">
        <f t="shared" si="357"/>
        <v>3000</v>
      </c>
      <c r="DM99" s="12">
        <f t="shared" si="316"/>
        <v>2</v>
      </c>
      <c r="DN99" s="12">
        <f t="shared" si="358"/>
        <v>2000</v>
      </c>
      <c r="DO99" s="12">
        <f t="shared" si="317"/>
        <v>1</v>
      </c>
      <c r="DP99" s="12">
        <f t="shared" si="359"/>
        <v>1000</v>
      </c>
      <c r="DQ99" s="12">
        <f t="shared" si="318"/>
        <v>0</v>
      </c>
      <c r="DR99" s="12">
        <f t="shared" si="360"/>
        <v>0</v>
      </c>
      <c r="DS99" s="12">
        <f t="shared" si="319"/>
        <v>6</v>
      </c>
      <c r="DT99" s="12">
        <f t="shared" si="361"/>
        <v>6000</v>
      </c>
    </row>
    <row r="100" spans="1:124" ht="14.25" customHeight="1">
      <c r="A100" s="30">
        <v>96</v>
      </c>
      <c r="B100" s="19" t="s">
        <v>135</v>
      </c>
      <c r="C100" s="15" t="s">
        <v>32</v>
      </c>
      <c r="D100" s="95"/>
      <c r="E100" s="56">
        <v>0</v>
      </c>
      <c r="F100" s="103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2">
        <f t="shared" si="312"/>
        <v>0</v>
      </c>
      <c r="AP100" s="17">
        <f>AO100*16</f>
        <v>0</v>
      </c>
      <c r="AQ100" s="12">
        <f t="shared" si="313"/>
        <v>176</v>
      </c>
      <c r="AR100" s="20"/>
      <c r="AS100" s="126">
        <f t="shared" si="311"/>
        <v>11</v>
      </c>
      <c r="AT100" s="56">
        <v>18</v>
      </c>
      <c r="AU100" s="50"/>
      <c r="AV100" s="12"/>
      <c r="AW100" s="12"/>
      <c r="AX100" s="12"/>
      <c r="AY100" s="12">
        <f>J100*192</f>
        <v>0</v>
      </c>
      <c r="AZ100" s="12">
        <f t="shared" ref="AZ100:CC100" si="362">K100*192</f>
        <v>0</v>
      </c>
      <c r="BA100" s="12">
        <f t="shared" si="362"/>
        <v>0</v>
      </c>
      <c r="BB100" s="12">
        <f t="shared" si="362"/>
        <v>0</v>
      </c>
      <c r="BC100" s="12">
        <f t="shared" si="362"/>
        <v>0</v>
      </c>
      <c r="BD100" s="12">
        <f t="shared" si="362"/>
        <v>0</v>
      </c>
      <c r="BE100" s="12">
        <f t="shared" si="362"/>
        <v>0</v>
      </c>
      <c r="BF100" s="12">
        <f t="shared" si="362"/>
        <v>0</v>
      </c>
      <c r="BG100" s="12">
        <f t="shared" si="362"/>
        <v>0</v>
      </c>
      <c r="BH100" s="12">
        <f t="shared" si="362"/>
        <v>0</v>
      </c>
      <c r="BI100" s="12">
        <f t="shared" si="362"/>
        <v>0</v>
      </c>
      <c r="BJ100" s="12">
        <f t="shared" si="362"/>
        <v>0</v>
      </c>
      <c r="BK100" s="12">
        <f t="shared" si="362"/>
        <v>0</v>
      </c>
      <c r="BL100" s="12">
        <f t="shared" si="362"/>
        <v>0</v>
      </c>
      <c r="BM100" s="12">
        <f t="shared" si="362"/>
        <v>0</v>
      </c>
      <c r="BN100" s="12">
        <f t="shared" si="362"/>
        <v>0</v>
      </c>
      <c r="BO100" s="12">
        <f t="shared" si="362"/>
        <v>0</v>
      </c>
      <c r="BP100" s="12">
        <f t="shared" si="362"/>
        <v>0</v>
      </c>
      <c r="BQ100" s="12">
        <f t="shared" si="362"/>
        <v>0</v>
      </c>
      <c r="BR100" s="12">
        <f t="shared" si="362"/>
        <v>0</v>
      </c>
      <c r="BS100" s="12">
        <f t="shared" si="362"/>
        <v>0</v>
      </c>
      <c r="BT100" s="12">
        <f t="shared" si="362"/>
        <v>0</v>
      </c>
      <c r="BU100" s="12">
        <f t="shared" si="362"/>
        <v>0</v>
      </c>
      <c r="BV100" s="12">
        <f t="shared" si="362"/>
        <v>0</v>
      </c>
      <c r="BW100" s="12">
        <f t="shared" si="362"/>
        <v>0</v>
      </c>
      <c r="BX100" s="12">
        <f t="shared" si="362"/>
        <v>0</v>
      </c>
      <c r="BY100" s="12">
        <f t="shared" si="362"/>
        <v>0</v>
      </c>
      <c r="BZ100" s="12">
        <f t="shared" si="362"/>
        <v>0</v>
      </c>
      <c r="CA100" s="12">
        <f t="shared" si="362"/>
        <v>0</v>
      </c>
      <c r="CB100" s="12">
        <f t="shared" si="362"/>
        <v>0</v>
      </c>
      <c r="CC100" s="12">
        <f t="shared" si="362"/>
        <v>0</v>
      </c>
      <c r="CD100" s="12"/>
      <c r="CE100" s="17"/>
      <c r="CF100" s="17">
        <v>2</v>
      </c>
      <c r="CG100" s="17"/>
      <c r="CH100" s="17"/>
      <c r="CI100" s="17"/>
      <c r="CJ100" s="17"/>
      <c r="CK100" s="17">
        <v>2</v>
      </c>
      <c r="CL100" s="17"/>
      <c r="CM100" s="17"/>
      <c r="CN100" s="17">
        <v>2</v>
      </c>
      <c r="CO100" s="17"/>
      <c r="CP100" s="12"/>
      <c r="CQ100" s="17"/>
      <c r="CR100" s="17"/>
      <c r="CS100" s="17"/>
      <c r="CT100" s="17">
        <v>1</v>
      </c>
      <c r="CU100" s="17"/>
      <c r="CV100" s="12"/>
      <c r="CW100" s="17"/>
      <c r="CX100" s="17"/>
      <c r="CY100" s="17"/>
      <c r="CZ100" s="17"/>
      <c r="DA100" s="17"/>
      <c r="DB100" s="17"/>
      <c r="DC100" s="17"/>
      <c r="DD100" s="17"/>
      <c r="DE100" s="12"/>
      <c r="DF100" s="17"/>
      <c r="DG100" s="17"/>
      <c r="DH100" s="17"/>
      <c r="DI100" s="36">
        <f>(AT100+SUM(AU100:AX100)*12+SUM(AY100:CC100)-SUM(CD100:DH100))</f>
        <v>11</v>
      </c>
      <c r="DJ100" s="12">
        <f>DI100*16</f>
        <v>176</v>
      </c>
      <c r="DK100" s="12">
        <f t="shared" si="315"/>
        <v>2</v>
      </c>
      <c r="DL100" s="12">
        <f>DK100*16</f>
        <v>32</v>
      </c>
      <c r="DM100" s="12">
        <f t="shared" si="316"/>
        <v>4</v>
      </c>
      <c r="DN100" s="12">
        <f>DM100*16</f>
        <v>64</v>
      </c>
      <c r="DO100" s="12">
        <f t="shared" si="317"/>
        <v>1</v>
      </c>
      <c r="DP100" s="12">
        <f>DO100*16</f>
        <v>16</v>
      </c>
      <c r="DQ100" s="12">
        <f t="shared" si="318"/>
        <v>0</v>
      </c>
      <c r="DR100" s="12">
        <f>DQ100*16</f>
        <v>0</v>
      </c>
      <c r="DS100" s="12">
        <f t="shared" si="319"/>
        <v>7</v>
      </c>
      <c r="DT100" s="12">
        <f>DS100*16</f>
        <v>112</v>
      </c>
    </row>
    <row r="101" spans="1:124" ht="14.25" customHeight="1">
      <c r="A101" s="12">
        <v>97</v>
      </c>
      <c r="B101" s="19" t="s">
        <v>136</v>
      </c>
      <c r="C101" s="14"/>
      <c r="D101" s="95"/>
      <c r="E101" s="56">
        <v>25</v>
      </c>
      <c r="F101" s="103"/>
      <c r="G101" s="17">
        <v>15</v>
      </c>
      <c r="H101" s="17"/>
      <c r="I101" s="17"/>
      <c r="J101" s="17"/>
      <c r="K101" s="17"/>
      <c r="L101" s="17"/>
      <c r="M101" s="17"/>
      <c r="N101" s="17">
        <v>6</v>
      </c>
      <c r="O101" s="17"/>
      <c r="P101" s="17"/>
      <c r="Q101" s="17">
        <v>6</v>
      </c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2">
        <f t="shared" si="312"/>
        <v>28</v>
      </c>
      <c r="AP101" s="17">
        <f>AO101*22680</f>
        <v>635040</v>
      </c>
      <c r="AQ101" s="12">
        <f t="shared" si="313"/>
        <v>1292760</v>
      </c>
      <c r="AR101" s="41" t="s">
        <v>68</v>
      </c>
      <c r="AS101" s="126">
        <f t="shared" si="311"/>
        <v>29</v>
      </c>
      <c r="AT101" s="56">
        <v>17</v>
      </c>
      <c r="AU101" s="50"/>
      <c r="AV101" s="12"/>
      <c r="AW101" s="12"/>
      <c r="AX101" s="12"/>
      <c r="AY101" s="12">
        <f t="shared" si="325"/>
        <v>0</v>
      </c>
      <c r="AZ101" s="12">
        <f t="shared" si="326"/>
        <v>0</v>
      </c>
      <c r="BA101" s="12">
        <f t="shared" si="327"/>
        <v>0</v>
      </c>
      <c r="BB101" s="12">
        <f t="shared" si="328"/>
        <v>0</v>
      </c>
      <c r="BC101" s="12">
        <f t="shared" si="329"/>
        <v>6</v>
      </c>
      <c r="BD101" s="12">
        <f t="shared" si="330"/>
        <v>0</v>
      </c>
      <c r="BE101" s="12">
        <f t="shared" si="331"/>
        <v>0</v>
      </c>
      <c r="BF101" s="12">
        <f t="shared" si="332"/>
        <v>6</v>
      </c>
      <c r="BG101" s="12">
        <f t="shared" si="333"/>
        <v>0</v>
      </c>
      <c r="BH101" s="12">
        <f t="shared" si="334"/>
        <v>0</v>
      </c>
      <c r="BI101" s="12">
        <f t="shared" si="335"/>
        <v>0</v>
      </c>
      <c r="BJ101" s="12">
        <f t="shared" si="336"/>
        <v>0</v>
      </c>
      <c r="BK101" s="12">
        <f t="shared" si="337"/>
        <v>0</v>
      </c>
      <c r="BL101" s="12">
        <f t="shared" si="338"/>
        <v>0</v>
      </c>
      <c r="BM101" s="12">
        <f t="shared" si="339"/>
        <v>0</v>
      </c>
      <c r="BN101" s="12">
        <f t="shared" si="340"/>
        <v>0</v>
      </c>
      <c r="BO101" s="12">
        <f t="shared" si="341"/>
        <v>0</v>
      </c>
      <c r="BP101" s="12">
        <f t="shared" si="342"/>
        <v>0</v>
      </c>
      <c r="BQ101" s="12">
        <f t="shared" si="343"/>
        <v>0</v>
      </c>
      <c r="BR101" s="12">
        <f t="shared" si="344"/>
        <v>0</v>
      </c>
      <c r="BS101" s="12">
        <f t="shared" si="345"/>
        <v>0</v>
      </c>
      <c r="BT101" s="12">
        <f t="shared" si="346"/>
        <v>0</v>
      </c>
      <c r="BU101" s="12">
        <f t="shared" si="347"/>
        <v>0</v>
      </c>
      <c r="BV101" s="12">
        <f t="shared" si="348"/>
        <v>0</v>
      </c>
      <c r="BW101" s="12">
        <f t="shared" si="349"/>
        <v>0</v>
      </c>
      <c r="BX101" s="12">
        <f t="shared" si="350"/>
        <v>0</v>
      </c>
      <c r="BY101" s="12">
        <f t="shared" si="351"/>
        <v>0</v>
      </c>
      <c r="BZ101" s="12">
        <f t="shared" si="352"/>
        <v>0</v>
      </c>
      <c r="CA101" s="12">
        <f t="shared" si="353"/>
        <v>0</v>
      </c>
      <c r="CB101" s="12">
        <f t="shared" si="354"/>
        <v>0</v>
      </c>
      <c r="CC101" s="12">
        <f t="shared" si="355"/>
        <v>0</v>
      </c>
      <c r="CD101" s="12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2"/>
      <c r="CQ101" s="17"/>
      <c r="CR101" s="17"/>
      <c r="CS101" s="17"/>
      <c r="CT101" s="17"/>
      <c r="CU101" s="17"/>
      <c r="CV101" s="12"/>
      <c r="CW101" s="17"/>
      <c r="CX101" s="17"/>
      <c r="CY101" s="17"/>
      <c r="CZ101" s="17"/>
      <c r="DA101" s="17"/>
      <c r="DB101" s="17"/>
      <c r="DC101" s="17"/>
      <c r="DD101" s="17"/>
      <c r="DE101" s="12"/>
      <c r="DF101" s="17"/>
      <c r="DG101" s="17"/>
      <c r="DH101" s="17"/>
      <c r="DI101" s="36">
        <f>(AT101+SUM(AU101:AX101)+SUM(AY101:CC101)-SUM(CD101:DH101))</f>
        <v>29</v>
      </c>
      <c r="DJ101" s="12">
        <f>DI101*22680</f>
        <v>657720</v>
      </c>
      <c r="DK101" s="12">
        <f t="shared" si="315"/>
        <v>0</v>
      </c>
      <c r="DL101" s="12">
        <f>DK101*22680</f>
        <v>0</v>
      </c>
      <c r="DM101" s="12">
        <f t="shared" si="316"/>
        <v>0</v>
      </c>
      <c r="DN101" s="12">
        <f>DM101*22680</f>
        <v>0</v>
      </c>
      <c r="DO101" s="12">
        <f t="shared" si="317"/>
        <v>0</v>
      </c>
      <c r="DP101" s="12">
        <f>DO101*22680</f>
        <v>0</v>
      </c>
      <c r="DQ101" s="12">
        <f t="shared" si="318"/>
        <v>0</v>
      </c>
      <c r="DR101" s="12">
        <f>DQ101*22680</f>
        <v>0</v>
      </c>
      <c r="DS101" s="12">
        <f t="shared" si="319"/>
        <v>0</v>
      </c>
      <c r="DT101" s="12">
        <f>DS101*22680</f>
        <v>0</v>
      </c>
    </row>
    <row r="102" spans="1:124" ht="14.25" customHeight="1">
      <c r="A102" s="12">
        <v>98</v>
      </c>
      <c r="B102" s="19" t="s">
        <v>137</v>
      </c>
      <c r="C102" s="14"/>
      <c r="D102" s="95"/>
      <c r="E102" s="56">
        <v>0</v>
      </c>
      <c r="F102" s="103"/>
      <c r="G102" s="17">
        <v>10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>
        <v>10</v>
      </c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2">
        <f t="shared" si="312"/>
        <v>0</v>
      </c>
      <c r="AP102" s="17">
        <f>AO102*200</f>
        <v>0</v>
      </c>
      <c r="AQ102" s="12">
        <f t="shared" si="313"/>
        <v>2200</v>
      </c>
      <c r="AR102" s="20"/>
      <c r="AS102" s="126">
        <f t="shared" si="311"/>
        <v>11</v>
      </c>
      <c r="AT102" s="56">
        <v>1</v>
      </c>
      <c r="AU102" s="50"/>
      <c r="AV102" s="12"/>
      <c r="AW102" s="12"/>
      <c r="AX102" s="12"/>
      <c r="AY102" s="12">
        <f t="shared" si="325"/>
        <v>0</v>
      </c>
      <c r="AZ102" s="12">
        <f t="shared" si="326"/>
        <v>0</v>
      </c>
      <c r="BA102" s="12">
        <f t="shared" si="327"/>
        <v>0</v>
      </c>
      <c r="BB102" s="12">
        <f t="shared" si="328"/>
        <v>0</v>
      </c>
      <c r="BC102" s="12">
        <f t="shared" si="329"/>
        <v>0</v>
      </c>
      <c r="BD102" s="12">
        <f t="shared" si="330"/>
        <v>0</v>
      </c>
      <c r="BE102" s="12">
        <f t="shared" si="331"/>
        <v>0</v>
      </c>
      <c r="BF102" s="12">
        <f t="shared" si="332"/>
        <v>0</v>
      </c>
      <c r="BG102" s="12">
        <f t="shared" si="333"/>
        <v>0</v>
      </c>
      <c r="BH102" s="12">
        <f t="shared" si="334"/>
        <v>0</v>
      </c>
      <c r="BI102" s="12">
        <f t="shared" si="335"/>
        <v>0</v>
      </c>
      <c r="BJ102" s="12">
        <f t="shared" si="336"/>
        <v>0</v>
      </c>
      <c r="BK102" s="12">
        <f t="shared" si="337"/>
        <v>0</v>
      </c>
      <c r="BL102" s="12">
        <f t="shared" si="338"/>
        <v>10</v>
      </c>
      <c r="BM102" s="12">
        <f t="shared" si="339"/>
        <v>0</v>
      </c>
      <c r="BN102" s="12">
        <f t="shared" si="340"/>
        <v>0</v>
      </c>
      <c r="BO102" s="12">
        <f t="shared" si="341"/>
        <v>0</v>
      </c>
      <c r="BP102" s="12">
        <f t="shared" si="342"/>
        <v>0</v>
      </c>
      <c r="BQ102" s="12">
        <f t="shared" si="343"/>
        <v>0</v>
      </c>
      <c r="BR102" s="12">
        <f t="shared" si="344"/>
        <v>0</v>
      </c>
      <c r="BS102" s="12">
        <f t="shared" si="345"/>
        <v>0</v>
      </c>
      <c r="BT102" s="12">
        <f t="shared" si="346"/>
        <v>0</v>
      </c>
      <c r="BU102" s="12">
        <f t="shared" si="347"/>
        <v>0</v>
      </c>
      <c r="BV102" s="12">
        <f t="shared" si="348"/>
        <v>0</v>
      </c>
      <c r="BW102" s="12">
        <f t="shared" si="349"/>
        <v>0</v>
      </c>
      <c r="BX102" s="12">
        <f t="shared" si="350"/>
        <v>0</v>
      </c>
      <c r="BY102" s="12">
        <f t="shared" si="351"/>
        <v>0</v>
      </c>
      <c r="BZ102" s="12">
        <f t="shared" si="352"/>
        <v>0</v>
      </c>
      <c r="CA102" s="12">
        <f t="shared" si="353"/>
        <v>0</v>
      </c>
      <c r="CB102" s="12">
        <f t="shared" si="354"/>
        <v>0</v>
      </c>
      <c r="CC102" s="12">
        <f t="shared" si="355"/>
        <v>0</v>
      </c>
      <c r="CD102" s="12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2"/>
      <c r="CQ102" s="17"/>
      <c r="CR102" s="17"/>
      <c r="CS102" s="17"/>
      <c r="CT102" s="17"/>
      <c r="CU102" s="17"/>
      <c r="CV102" s="12"/>
      <c r="CW102" s="17"/>
      <c r="CX102" s="17"/>
      <c r="CY102" s="17"/>
      <c r="CZ102" s="17"/>
      <c r="DA102" s="17"/>
      <c r="DB102" s="17"/>
      <c r="DC102" s="17"/>
      <c r="DD102" s="17"/>
      <c r="DE102" s="12"/>
      <c r="DF102" s="17"/>
      <c r="DG102" s="17"/>
      <c r="DH102" s="17"/>
      <c r="DI102" s="36">
        <f>(AT102+SUM(AU102:AX102)+SUM(AY102:CC102)-SUM(CD102:DH102))</f>
        <v>11</v>
      </c>
      <c r="DJ102" s="12">
        <f>DI102*200</f>
        <v>2200</v>
      </c>
      <c r="DK102" s="12">
        <f t="shared" si="315"/>
        <v>0</v>
      </c>
      <c r="DL102" s="12">
        <f>DK102*200</f>
        <v>0</v>
      </c>
      <c r="DM102" s="12">
        <f t="shared" si="316"/>
        <v>0</v>
      </c>
      <c r="DN102" s="12">
        <f>DM102*200</f>
        <v>0</v>
      </c>
      <c r="DO102" s="12">
        <f t="shared" si="317"/>
        <v>0</v>
      </c>
      <c r="DP102" s="12">
        <f>DO102*200</f>
        <v>0</v>
      </c>
      <c r="DQ102" s="12">
        <f t="shared" si="318"/>
        <v>0</v>
      </c>
      <c r="DR102" s="12">
        <f>DQ102*200</f>
        <v>0</v>
      </c>
      <c r="DS102" s="12">
        <f t="shared" si="319"/>
        <v>0</v>
      </c>
      <c r="DT102" s="12">
        <f>DS102*200</f>
        <v>0</v>
      </c>
    </row>
    <row r="103" spans="1:124" ht="14.25" customHeight="1">
      <c r="A103" s="30">
        <v>99</v>
      </c>
      <c r="B103" s="19" t="s">
        <v>138</v>
      </c>
      <c r="C103" s="15" t="s">
        <v>32</v>
      </c>
      <c r="D103" s="95"/>
      <c r="E103" s="56">
        <v>0</v>
      </c>
      <c r="F103" s="103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2">
        <f t="shared" si="312"/>
        <v>0</v>
      </c>
      <c r="AP103" s="17">
        <f>AO103*10</f>
        <v>0</v>
      </c>
      <c r="AQ103" s="12">
        <f t="shared" si="313"/>
        <v>0</v>
      </c>
      <c r="AR103" s="17"/>
      <c r="AS103" s="126">
        <f t="shared" si="311"/>
        <v>0</v>
      </c>
      <c r="AT103" s="56">
        <v>3</v>
      </c>
      <c r="AU103" s="50">
        <v>1</v>
      </c>
      <c r="AV103" s="12"/>
      <c r="AW103" s="12"/>
      <c r="AX103" s="12"/>
      <c r="AY103" s="12">
        <f>J103*10</f>
        <v>0</v>
      </c>
      <c r="AZ103" s="12">
        <f t="shared" ref="AZ103:CC103" si="363">K103*10</f>
        <v>0</v>
      </c>
      <c r="BA103" s="12">
        <f t="shared" si="363"/>
        <v>0</v>
      </c>
      <c r="BB103" s="12">
        <f t="shared" si="363"/>
        <v>0</v>
      </c>
      <c r="BC103" s="12">
        <f t="shared" si="363"/>
        <v>0</v>
      </c>
      <c r="BD103" s="12">
        <f t="shared" si="363"/>
        <v>0</v>
      </c>
      <c r="BE103" s="12">
        <f t="shared" si="363"/>
        <v>0</v>
      </c>
      <c r="BF103" s="12">
        <f t="shared" si="363"/>
        <v>0</v>
      </c>
      <c r="BG103" s="12">
        <f t="shared" si="363"/>
        <v>0</v>
      </c>
      <c r="BH103" s="12">
        <f t="shared" si="363"/>
        <v>0</v>
      </c>
      <c r="BI103" s="12">
        <f t="shared" si="363"/>
        <v>0</v>
      </c>
      <c r="BJ103" s="12">
        <f t="shared" si="363"/>
        <v>0</v>
      </c>
      <c r="BK103" s="12">
        <f t="shared" si="363"/>
        <v>0</v>
      </c>
      <c r="BL103" s="12">
        <f t="shared" si="363"/>
        <v>0</v>
      </c>
      <c r="BM103" s="12">
        <f t="shared" si="363"/>
        <v>0</v>
      </c>
      <c r="BN103" s="12">
        <f t="shared" si="363"/>
        <v>0</v>
      </c>
      <c r="BO103" s="12">
        <f t="shared" si="363"/>
        <v>0</v>
      </c>
      <c r="BP103" s="12">
        <f t="shared" si="363"/>
        <v>0</v>
      </c>
      <c r="BQ103" s="12">
        <f t="shared" si="363"/>
        <v>0</v>
      </c>
      <c r="BR103" s="12">
        <f t="shared" si="363"/>
        <v>0</v>
      </c>
      <c r="BS103" s="12">
        <f t="shared" si="363"/>
        <v>0</v>
      </c>
      <c r="BT103" s="12">
        <f t="shared" si="363"/>
        <v>0</v>
      </c>
      <c r="BU103" s="12">
        <f t="shared" si="363"/>
        <v>0</v>
      </c>
      <c r="BV103" s="12">
        <f t="shared" si="363"/>
        <v>0</v>
      </c>
      <c r="BW103" s="12">
        <f t="shared" si="363"/>
        <v>0</v>
      </c>
      <c r="BX103" s="12">
        <f t="shared" si="363"/>
        <v>0</v>
      </c>
      <c r="BY103" s="12">
        <f t="shared" si="363"/>
        <v>0</v>
      </c>
      <c r="BZ103" s="12">
        <f t="shared" si="363"/>
        <v>0</v>
      </c>
      <c r="CA103" s="12">
        <f t="shared" si="363"/>
        <v>0</v>
      </c>
      <c r="CB103" s="12">
        <f t="shared" si="363"/>
        <v>0</v>
      </c>
      <c r="CC103" s="12">
        <f t="shared" si="363"/>
        <v>0</v>
      </c>
      <c r="CD103" s="12"/>
      <c r="CE103" s="17"/>
      <c r="CF103" s="17">
        <v>1</v>
      </c>
      <c r="CG103" s="17"/>
      <c r="CH103" s="17"/>
      <c r="CI103" s="17"/>
      <c r="CJ103" s="17"/>
      <c r="CK103" s="17"/>
      <c r="CL103" s="17"/>
      <c r="CM103" s="17"/>
      <c r="CN103" s="17">
        <v>1</v>
      </c>
      <c r="CO103" s="17"/>
      <c r="CP103" s="12"/>
      <c r="CQ103" s="17"/>
      <c r="CR103" s="17"/>
      <c r="CS103" s="17">
        <v>1</v>
      </c>
      <c r="CT103" s="17">
        <v>1</v>
      </c>
      <c r="CU103" s="17"/>
      <c r="CV103" s="12"/>
      <c r="CW103" s="17"/>
      <c r="CX103" s="17"/>
      <c r="CY103" s="17"/>
      <c r="CZ103" s="17"/>
      <c r="DA103" s="17"/>
      <c r="DB103" s="17"/>
      <c r="DC103" s="17"/>
      <c r="DD103" s="17"/>
      <c r="DE103" s="12"/>
      <c r="DF103" s="17"/>
      <c r="DG103" s="17"/>
      <c r="DH103" s="17"/>
      <c r="DI103" s="36">
        <f>(AT103+SUM(AU103:AX103)+SUM(AY103:CC103)-SUM(CD103:DH103))</f>
        <v>0</v>
      </c>
      <c r="DJ103" s="12">
        <f>DI103*10</f>
        <v>0</v>
      </c>
      <c r="DK103" s="12">
        <f t="shared" si="315"/>
        <v>1</v>
      </c>
      <c r="DL103" s="12">
        <f>DK103*10</f>
        <v>10</v>
      </c>
      <c r="DM103" s="12">
        <f t="shared" si="316"/>
        <v>1</v>
      </c>
      <c r="DN103" s="12">
        <f>DM103*10</f>
        <v>10</v>
      </c>
      <c r="DO103" s="12">
        <f t="shared" si="317"/>
        <v>2</v>
      </c>
      <c r="DP103" s="12">
        <f>DO103*10</f>
        <v>20</v>
      </c>
      <c r="DQ103" s="12">
        <f t="shared" si="318"/>
        <v>0</v>
      </c>
      <c r="DR103" s="12">
        <f>DQ103*10</f>
        <v>0</v>
      </c>
      <c r="DS103" s="12">
        <f t="shared" si="319"/>
        <v>4</v>
      </c>
      <c r="DT103" s="12">
        <f>DS103*10</f>
        <v>40</v>
      </c>
    </row>
    <row r="104" spans="1:124" ht="14.25" customHeight="1">
      <c r="A104" s="30">
        <v>100</v>
      </c>
      <c r="B104" s="19" t="s">
        <v>139</v>
      </c>
      <c r="C104" s="15" t="s">
        <v>32</v>
      </c>
      <c r="D104" s="95"/>
      <c r="E104" s="56">
        <v>0</v>
      </c>
      <c r="F104" s="103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2">
        <f t="shared" si="312"/>
        <v>0</v>
      </c>
      <c r="AP104" s="17">
        <f>AO104*1000</f>
        <v>0</v>
      </c>
      <c r="AQ104" s="12">
        <f t="shared" si="313"/>
        <v>6000</v>
      </c>
      <c r="AR104" s="17"/>
      <c r="AS104" s="126">
        <f t="shared" si="311"/>
        <v>6</v>
      </c>
      <c r="AT104" s="56">
        <v>10</v>
      </c>
      <c r="AU104" s="50"/>
      <c r="AV104" s="12"/>
      <c r="AW104" s="12"/>
      <c r="AX104" s="12"/>
      <c r="AY104" s="12">
        <f>J104*6</f>
        <v>0</v>
      </c>
      <c r="AZ104" s="12">
        <f t="shared" ref="AZ104:CC104" si="364">K104*6</f>
        <v>0</v>
      </c>
      <c r="BA104" s="12">
        <f t="shared" si="364"/>
        <v>0</v>
      </c>
      <c r="BB104" s="12">
        <f t="shared" si="364"/>
        <v>0</v>
      </c>
      <c r="BC104" s="12">
        <f t="shared" si="364"/>
        <v>0</v>
      </c>
      <c r="BD104" s="12">
        <f t="shared" si="364"/>
        <v>0</v>
      </c>
      <c r="BE104" s="12">
        <f t="shared" si="364"/>
        <v>0</v>
      </c>
      <c r="BF104" s="12">
        <f t="shared" si="364"/>
        <v>0</v>
      </c>
      <c r="BG104" s="12">
        <f t="shared" si="364"/>
        <v>0</v>
      </c>
      <c r="BH104" s="12">
        <f t="shared" si="364"/>
        <v>0</v>
      </c>
      <c r="BI104" s="12">
        <f t="shared" si="364"/>
        <v>0</v>
      </c>
      <c r="BJ104" s="12">
        <f t="shared" si="364"/>
        <v>0</v>
      </c>
      <c r="BK104" s="12">
        <f t="shared" si="364"/>
        <v>0</v>
      </c>
      <c r="BL104" s="12">
        <f t="shared" si="364"/>
        <v>0</v>
      </c>
      <c r="BM104" s="12">
        <f t="shared" si="364"/>
        <v>0</v>
      </c>
      <c r="BN104" s="12">
        <f t="shared" si="364"/>
        <v>0</v>
      </c>
      <c r="BO104" s="12">
        <f t="shared" si="364"/>
        <v>0</v>
      </c>
      <c r="BP104" s="12">
        <f t="shared" si="364"/>
        <v>0</v>
      </c>
      <c r="BQ104" s="12">
        <f t="shared" si="364"/>
        <v>0</v>
      </c>
      <c r="BR104" s="12">
        <f t="shared" si="364"/>
        <v>0</v>
      </c>
      <c r="BS104" s="12">
        <f t="shared" si="364"/>
        <v>0</v>
      </c>
      <c r="BT104" s="12">
        <f t="shared" si="364"/>
        <v>0</v>
      </c>
      <c r="BU104" s="12">
        <f t="shared" si="364"/>
        <v>0</v>
      </c>
      <c r="BV104" s="12">
        <f t="shared" si="364"/>
        <v>0</v>
      </c>
      <c r="BW104" s="12">
        <f t="shared" si="364"/>
        <v>0</v>
      </c>
      <c r="BX104" s="12">
        <f t="shared" si="364"/>
        <v>0</v>
      </c>
      <c r="BY104" s="12">
        <f t="shared" si="364"/>
        <v>0</v>
      </c>
      <c r="BZ104" s="12">
        <f t="shared" si="364"/>
        <v>0</v>
      </c>
      <c r="CA104" s="12">
        <f t="shared" si="364"/>
        <v>0</v>
      </c>
      <c r="CB104" s="12">
        <f t="shared" si="364"/>
        <v>0</v>
      </c>
      <c r="CC104" s="12">
        <f t="shared" si="364"/>
        <v>0</v>
      </c>
      <c r="CD104" s="12"/>
      <c r="CE104" s="17"/>
      <c r="CF104" s="17"/>
      <c r="CG104" s="17"/>
      <c r="CH104" s="17">
        <v>2</v>
      </c>
      <c r="CI104" s="17"/>
      <c r="CJ104" s="17"/>
      <c r="CK104" s="17"/>
      <c r="CL104" s="17"/>
      <c r="CM104" s="17"/>
      <c r="CN104" s="17">
        <v>1</v>
      </c>
      <c r="CO104" s="17"/>
      <c r="CP104" s="12"/>
      <c r="CQ104" s="17"/>
      <c r="CR104" s="17"/>
      <c r="CS104" s="17"/>
      <c r="CT104" s="17">
        <v>1</v>
      </c>
      <c r="CU104" s="17"/>
      <c r="CV104" s="12"/>
      <c r="CW104" s="17"/>
      <c r="CX104" s="17"/>
      <c r="CY104" s="17"/>
      <c r="CZ104" s="17"/>
      <c r="DA104" s="17"/>
      <c r="DB104" s="17"/>
      <c r="DC104" s="17"/>
      <c r="DD104" s="17"/>
      <c r="DE104" s="12"/>
      <c r="DF104" s="17"/>
      <c r="DG104" s="17"/>
      <c r="DH104" s="17"/>
      <c r="DI104" s="36">
        <f>(AT104+SUM(AU104:AX104)*6+SUM(AY104:CC104)-SUM(CD104:DH104))</f>
        <v>6</v>
      </c>
      <c r="DJ104" s="12">
        <f>DI104*1000</f>
        <v>6000</v>
      </c>
      <c r="DK104" s="12">
        <f t="shared" si="315"/>
        <v>2</v>
      </c>
      <c r="DL104" s="12">
        <f>DK104*1000</f>
        <v>2000</v>
      </c>
      <c r="DM104" s="12">
        <f t="shared" si="316"/>
        <v>1</v>
      </c>
      <c r="DN104" s="12">
        <f>DM104*1000</f>
        <v>1000</v>
      </c>
      <c r="DO104" s="12">
        <f t="shared" si="317"/>
        <v>1</v>
      </c>
      <c r="DP104" s="12">
        <f>DO104*1000</f>
        <v>1000</v>
      </c>
      <c r="DQ104" s="12">
        <f t="shared" si="318"/>
        <v>0</v>
      </c>
      <c r="DR104" s="12">
        <f>DQ104*1000</f>
        <v>0</v>
      </c>
      <c r="DS104" s="12">
        <f t="shared" si="319"/>
        <v>4</v>
      </c>
      <c r="DT104" s="12">
        <f>DS104*1000</f>
        <v>4000</v>
      </c>
    </row>
    <row r="105" spans="1:124" ht="14.25" customHeight="1">
      <c r="A105" s="30">
        <v>101</v>
      </c>
      <c r="B105" s="19" t="s">
        <v>140</v>
      </c>
      <c r="C105" s="15" t="s">
        <v>32</v>
      </c>
      <c r="D105" s="95"/>
      <c r="E105" s="56">
        <v>0</v>
      </c>
      <c r="F105" s="103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2">
        <f t="shared" si="312"/>
        <v>0</v>
      </c>
      <c r="AP105" s="17">
        <f t="shared" ref="AP105:AP106" si="365">AO105*500</f>
        <v>0</v>
      </c>
      <c r="AQ105" s="12">
        <f t="shared" si="313"/>
        <v>500</v>
      </c>
      <c r="AR105" s="17"/>
      <c r="AS105" s="126">
        <f t="shared" si="311"/>
        <v>1</v>
      </c>
      <c r="AT105" s="56">
        <v>6</v>
      </c>
      <c r="AU105" s="50"/>
      <c r="AV105" s="12"/>
      <c r="AW105" s="12"/>
      <c r="AX105" s="12"/>
      <c r="AY105" s="12">
        <f t="shared" si="325"/>
        <v>0</v>
      </c>
      <c r="AZ105" s="12">
        <f t="shared" si="326"/>
        <v>0</v>
      </c>
      <c r="BA105" s="12">
        <f t="shared" si="327"/>
        <v>0</v>
      </c>
      <c r="BB105" s="12">
        <f t="shared" si="328"/>
        <v>0</v>
      </c>
      <c r="BC105" s="12">
        <f t="shared" si="329"/>
        <v>0</v>
      </c>
      <c r="BD105" s="12">
        <f t="shared" si="330"/>
        <v>0</v>
      </c>
      <c r="BE105" s="12">
        <f t="shared" si="331"/>
        <v>0</v>
      </c>
      <c r="BF105" s="12">
        <f t="shared" si="332"/>
        <v>0</v>
      </c>
      <c r="BG105" s="12">
        <f t="shared" si="333"/>
        <v>0</v>
      </c>
      <c r="BH105" s="12">
        <f t="shared" si="334"/>
        <v>0</v>
      </c>
      <c r="BI105" s="12">
        <f t="shared" si="335"/>
        <v>0</v>
      </c>
      <c r="BJ105" s="12">
        <f t="shared" si="336"/>
        <v>0</v>
      </c>
      <c r="BK105" s="12">
        <f t="shared" si="337"/>
        <v>0</v>
      </c>
      <c r="BL105" s="12">
        <f t="shared" si="338"/>
        <v>0</v>
      </c>
      <c r="BM105" s="12">
        <f t="shared" si="339"/>
        <v>0</v>
      </c>
      <c r="BN105" s="12">
        <f t="shared" si="340"/>
        <v>0</v>
      </c>
      <c r="BO105" s="12">
        <f t="shared" si="341"/>
        <v>0</v>
      </c>
      <c r="BP105" s="12">
        <f t="shared" si="342"/>
        <v>0</v>
      </c>
      <c r="BQ105" s="12">
        <f t="shared" si="343"/>
        <v>0</v>
      </c>
      <c r="BR105" s="12">
        <f t="shared" si="344"/>
        <v>0</v>
      </c>
      <c r="BS105" s="12">
        <f t="shared" si="345"/>
        <v>0</v>
      </c>
      <c r="BT105" s="12">
        <f t="shared" si="346"/>
        <v>0</v>
      </c>
      <c r="BU105" s="12">
        <f t="shared" si="347"/>
        <v>0</v>
      </c>
      <c r="BV105" s="12">
        <f t="shared" si="348"/>
        <v>0</v>
      </c>
      <c r="BW105" s="12">
        <f t="shared" si="349"/>
        <v>0</v>
      </c>
      <c r="BX105" s="12">
        <f t="shared" si="350"/>
        <v>0</v>
      </c>
      <c r="BY105" s="12">
        <f t="shared" si="351"/>
        <v>0</v>
      </c>
      <c r="BZ105" s="12">
        <f t="shared" si="352"/>
        <v>0</v>
      </c>
      <c r="CA105" s="12">
        <f t="shared" si="353"/>
        <v>0</v>
      </c>
      <c r="CB105" s="12">
        <f t="shared" si="354"/>
        <v>0</v>
      </c>
      <c r="CC105" s="12">
        <f t="shared" si="355"/>
        <v>0</v>
      </c>
      <c r="CD105" s="12"/>
      <c r="CE105" s="17"/>
      <c r="CF105" s="17"/>
      <c r="CG105" s="17">
        <v>1</v>
      </c>
      <c r="CH105" s="17"/>
      <c r="CI105" s="17"/>
      <c r="CJ105" s="17"/>
      <c r="CK105" s="17"/>
      <c r="CL105" s="17"/>
      <c r="CM105" s="17"/>
      <c r="CN105" s="17"/>
      <c r="CO105" s="17">
        <v>1</v>
      </c>
      <c r="CP105" s="12"/>
      <c r="CQ105" s="17"/>
      <c r="CR105" s="17"/>
      <c r="CS105" s="17"/>
      <c r="CT105" s="17">
        <v>3</v>
      </c>
      <c r="CU105" s="17"/>
      <c r="CV105" s="12"/>
      <c r="CW105" s="17"/>
      <c r="CX105" s="17"/>
      <c r="CY105" s="17"/>
      <c r="CZ105" s="17"/>
      <c r="DA105" s="17"/>
      <c r="DB105" s="17"/>
      <c r="DC105" s="17"/>
      <c r="DD105" s="17"/>
      <c r="DE105" s="12"/>
      <c r="DF105" s="17"/>
      <c r="DG105" s="17"/>
      <c r="DH105" s="17"/>
      <c r="DI105" s="36">
        <f>(AT105+SUM(AU105:AX105)+SUM(AY105:CC105)-SUM(CD105:DH105))</f>
        <v>1</v>
      </c>
      <c r="DJ105" s="12">
        <f t="shared" ref="DJ105:DJ106" si="366">DI105*500</f>
        <v>500</v>
      </c>
      <c r="DK105" s="12">
        <f t="shared" si="315"/>
        <v>1</v>
      </c>
      <c r="DL105" s="12">
        <f t="shared" ref="DL105:DL106" si="367">DK105*500</f>
        <v>500</v>
      </c>
      <c r="DM105" s="12">
        <f t="shared" si="316"/>
        <v>1</v>
      </c>
      <c r="DN105" s="12">
        <f t="shared" ref="DN105:DN106" si="368">DM105*500</f>
        <v>500</v>
      </c>
      <c r="DO105" s="12">
        <f t="shared" si="317"/>
        <v>3</v>
      </c>
      <c r="DP105" s="12">
        <f t="shared" ref="DP105:DP106" si="369">DO105*500</f>
        <v>1500</v>
      </c>
      <c r="DQ105" s="12">
        <f t="shared" si="318"/>
        <v>0</v>
      </c>
      <c r="DR105" s="12">
        <f t="shared" ref="DR105:DR106" si="370">DQ105*500</f>
        <v>0</v>
      </c>
      <c r="DS105" s="12">
        <f t="shared" si="319"/>
        <v>5</v>
      </c>
      <c r="DT105" s="12">
        <f t="shared" ref="DT105:DT106" si="371">DS105*500</f>
        <v>2500</v>
      </c>
    </row>
    <row r="106" spans="1:124" ht="14.25" customHeight="1">
      <c r="A106" s="30">
        <v>102</v>
      </c>
      <c r="B106" s="19" t="s">
        <v>141</v>
      </c>
      <c r="C106" s="15" t="s">
        <v>32</v>
      </c>
      <c r="D106" s="95"/>
      <c r="E106" s="56">
        <v>0</v>
      </c>
      <c r="F106" s="103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2">
        <f t="shared" si="312"/>
        <v>0</v>
      </c>
      <c r="AP106" s="17">
        <f t="shared" si="365"/>
        <v>0</v>
      </c>
      <c r="AQ106" s="12">
        <f t="shared" si="313"/>
        <v>1500</v>
      </c>
      <c r="AR106" s="17"/>
      <c r="AS106" s="126">
        <f t="shared" si="311"/>
        <v>3</v>
      </c>
      <c r="AT106" s="56">
        <v>7</v>
      </c>
      <c r="AU106" s="50"/>
      <c r="AV106" s="12"/>
      <c r="AW106" s="12"/>
      <c r="AX106" s="12"/>
      <c r="AY106" s="12">
        <f t="shared" si="325"/>
        <v>0</v>
      </c>
      <c r="AZ106" s="12">
        <f t="shared" si="326"/>
        <v>0</v>
      </c>
      <c r="BA106" s="12">
        <f t="shared" si="327"/>
        <v>0</v>
      </c>
      <c r="BB106" s="12">
        <f t="shared" si="328"/>
        <v>0</v>
      </c>
      <c r="BC106" s="12">
        <f t="shared" si="329"/>
        <v>0</v>
      </c>
      <c r="BD106" s="12">
        <f t="shared" si="330"/>
        <v>0</v>
      </c>
      <c r="BE106" s="12">
        <f t="shared" si="331"/>
        <v>0</v>
      </c>
      <c r="BF106" s="12">
        <f t="shared" si="332"/>
        <v>0</v>
      </c>
      <c r="BG106" s="12">
        <f t="shared" si="333"/>
        <v>0</v>
      </c>
      <c r="BH106" s="12">
        <f t="shared" si="334"/>
        <v>0</v>
      </c>
      <c r="BI106" s="12">
        <f t="shared" si="335"/>
        <v>0</v>
      </c>
      <c r="BJ106" s="12">
        <f t="shared" si="336"/>
        <v>0</v>
      </c>
      <c r="BK106" s="12">
        <f t="shared" si="337"/>
        <v>0</v>
      </c>
      <c r="BL106" s="12">
        <f t="shared" si="338"/>
        <v>0</v>
      </c>
      <c r="BM106" s="12">
        <f t="shared" si="339"/>
        <v>0</v>
      </c>
      <c r="BN106" s="12">
        <f t="shared" si="340"/>
        <v>0</v>
      </c>
      <c r="BO106" s="12">
        <f t="shared" si="341"/>
        <v>0</v>
      </c>
      <c r="BP106" s="12">
        <f t="shared" si="342"/>
        <v>0</v>
      </c>
      <c r="BQ106" s="12">
        <f t="shared" si="343"/>
        <v>0</v>
      </c>
      <c r="BR106" s="12">
        <f t="shared" si="344"/>
        <v>0</v>
      </c>
      <c r="BS106" s="12">
        <f t="shared" si="345"/>
        <v>0</v>
      </c>
      <c r="BT106" s="12">
        <f t="shared" si="346"/>
        <v>0</v>
      </c>
      <c r="BU106" s="12">
        <f t="shared" si="347"/>
        <v>0</v>
      </c>
      <c r="BV106" s="12">
        <f t="shared" si="348"/>
        <v>0</v>
      </c>
      <c r="BW106" s="12">
        <f t="shared" si="349"/>
        <v>0</v>
      </c>
      <c r="BX106" s="12">
        <f t="shared" si="350"/>
        <v>0</v>
      </c>
      <c r="BY106" s="12">
        <f t="shared" si="351"/>
        <v>0</v>
      </c>
      <c r="BZ106" s="12">
        <f t="shared" si="352"/>
        <v>0</v>
      </c>
      <c r="CA106" s="12">
        <f t="shared" si="353"/>
        <v>0</v>
      </c>
      <c r="CB106" s="12">
        <f t="shared" si="354"/>
        <v>0</v>
      </c>
      <c r="CC106" s="12">
        <f t="shared" si="355"/>
        <v>0</v>
      </c>
      <c r="CD106" s="12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>
        <v>1</v>
      </c>
      <c r="CP106" s="12"/>
      <c r="CQ106" s="17"/>
      <c r="CR106" s="17"/>
      <c r="CS106" s="17"/>
      <c r="CT106" s="17">
        <v>3</v>
      </c>
      <c r="CU106" s="17"/>
      <c r="CV106" s="12"/>
      <c r="CW106" s="17"/>
      <c r="CX106" s="17"/>
      <c r="CY106" s="17"/>
      <c r="CZ106" s="17"/>
      <c r="DA106" s="17"/>
      <c r="DB106" s="17"/>
      <c r="DC106" s="17"/>
      <c r="DD106" s="17"/>
      <c r="DE106" s="12"/>
      <c r="DF106" s="17"/>
      <c r="DG106" s="17"/>
      <c r="DH106" s="17"/>
      <c r="DI106" s="36">
        <f>(AT106+SUM(AU106:AX106)+SUM(AY106:CC106)-SUM(CD106:DH106))</f>
        <v>3</v>
      </c>
      <c r="DJ106" s="12">
        <f t="shared" si="366"/>
        <v>1500</v>
      </c>
      <c r="DK106" s="12">
        <f t="shared" si="315"/>
        <v>0</v>
      </c>
      <c r="DL106" s="12">
        <f t="shared" si="367"/>
        <v>0</v>
      </c>
      <c r="DM106" s="12">
        <f t="shared" si="316"/>
        <v>1</v>
      </c>
      <c r="DN106" s="12">
        <f t="shared" si="368"/>
        <v>500</v>
      </c>
      <c r="DO106" s="12">
        <f t="shared" si="317"/>
        <v>3</v>
      </c>
      <c r="DP106" s="12">
        <f t="shared" si="369"/>
        <v>1500</v>
      </c>
      <c r="DQ106" s="12">
        <f t="shared" si="318"/>
        <v>0</v>
      </c>
      <c r="DR106" s="12">
        <f t="shared" si="370"/>
        <v>0</v>
      </c>
      <c r="DS106" s="12">
        <f t="shared" si="319"/>
        <v>4</v>
      </c>
      <c r="DT106" s="12">
        <f t="shared" si="371"/>
        <v>2000</v>
      </c>
    </row>
    <row r="107" spans="1:124" ht="14.25" customHeight="1">
      <c r="A107" s="28">
        <v>103</v>
      </c>
      <c r="B107" s="19" t="s">
        <v>142</v>
      </c>
      <c r="C107" s="14"/>
      <c r="D107" s="95"/>
      <c r="E107" s="56">
        <v>0</v>
      </c>
      <c r="F107" s="103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2">
        <f t="shared" si="312"/>
        <v>0</v>
      </c>
      <c r="AP107" s="17">
        <f>AO107*2200</f>
        <v>0</v>
      </c>
      <c r="AQ107" s="12">
        <f t="shared" si="313"/>
        <v>77000</v>
      </c>
      <c r="AR107" s="40"/>
      <c r="AS107" s="126">
        <f t="shared" si="311"/>
        <v>35</v>
      </c>
      <c r="AT107" s="56">
        <v>20</v>
      </c>
      <c r="AU107" s="50"/>
      <c r="AV107" s="12">
        <v>3</v>
      </c>
      <c r="AW107" s="12"/>
      <c r="AX107" s="12"/>
      <c r="AY107" s="12">
        <f>J107*5</f>
        <v>0</v>
      </c>
      <c r="AZ107" s="12">
        <f t="shared" ref="AZ107:CC107" si="372">K107*5</f>
        <v>0</v>
      </c>
      <c r="BA107" s="12">
        <f t="shared" si="372"/>
        <v>0</v>
      </c>
      <c r="BB107" s="12">
        <f t="shared" si="372"/>
        <v>0</v>
      </c>
      <c r="BC107" s="12">
        <f t="shared" si="372"/>
        <v>0</v>
      </c>
      <c r="BD107" s="12">
        <f t="shared" si="372"/>
        <v>0</v>
      </c>
      <c r="BE107" s="12">
        <f t="shared" si="372"/>
        <v>0</v>
      </c>
      <c r="BF107" s="12">
        <f t="shared" si="372"/>
        <v>0</v>
      </c>
      <c r="BG107" s="12">
        <f t="shared" si="372"/>
        <v>0</v>
      </c>
      <c r="BH107" s="12">
        <f t="shared" si="372"/>
        <v>0</v>
      </c>
      <c r="BI107" s="12">
        <f t="shared" si="372"/>
        <v>0</v>
      </c>
      <c r="BJ107" s="12">
        <f t="shared" si="372"/>
        <v>0</v>
      </c>
      <c r="BK107" s="12">
        <f t="shared" si="372"/>
        <v>0</v>
      </c>
      <c r="BL107" s="12">
        <f t="shared" si="372"/>
        <v>0</v>
      </c>
      <c r="BM107" s="12">
        <f t="shared" si="372"/>
        <v>0</v>
      </c>
      <c r="BN107" s="12">
        <f t="shared" si="372"/>
        <v>0</v>
      </c>
      <c r="BO107" s="12">
        <f t="shared" si="372"/>
        <v>0</v>
      </c>
      <c r="BP107" s="12">
        <f t="shared" si="372"/>
        <v>0</v>
      </c>
      <c r="BQ107" s="12">
        <f t="shared" si="372"/>
        <v>0</v>
      </c>
      <c r="BR107" s="12">
        <f t="shared" si="372"/>
        <v>0</v>
      </c>
      <c r="BS107" s="12">
        <f t="shared" si="372"/>
        <v>0</v>
      </c>
      <c r="BT107" s="12">
        <f t="shared" si="372"/>
        <v>0</v>
      </c>
      <c r="BU107" s="12">
        <f t="shared" si="372"/>
        <v>0</v>
      </c>
      <c r="BV107" s="12">
        <f t="shared" si="372"/>
        <v>0</v>
      </c>
      <c r="BW107" s="12">
        <f t="shared" si="372"/>
        <v>0</v>
      </c>
      <c r="BX107" s="12">
        <f t="shared" si="372"/>
        <v>0</v>
      </c>
      <c r="BY107" s="12">
        <f t="shared" si="372"/>
        <v>0</v>
      </c>
      <c r="BZ107" s="12">
        <f t="shared" si="372"/>
        <v>0</v>
      </c>
      <c r="CA107" s="12">
        <f t="shared" si="372"/>
        <v>0</v>
      </c>
      <c r="CB107" s="12">
        <f t="shared" si="372"/>
        <v>0</v>
      </c>
      <c r="CC107" s="12">
        <f t="shared" si="372"/>
        <v>0</v>
      </c>
      <c r="CD107" s="12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2"/>
      <c r="CQ107" s="17"/>
      <c r="CR107" s="17"/>
      <c r="CS107" s="17"/>
      <c r="CT107" s="17"/>
      <c r="CU107" s="17"/>
      <c r="CV107" s="12"/>
      <c r="CW107" s="17"/>
      <c r="CX107" s="17"/>
      <c r="CY107" s="17"/>
      <c r="CZ107" s="17"/>
      <c r="DA107" s="17"/>
      <c r="DB107" s="17"/>
      <c r="DC107" s="17"/>
      <c r="DD107" s="17"/>
      <c r="DE107" s="12"/>
      <c r="DF107" s="17"/>
      <c r="DG107" s="17"/>
      <c r="DH107" s="17"/>
      <c r="DI107" s="36">
        <f>(AT107+SUM(AU107:AX107)*5+SUM(AY107:CC107)-SUM(CD107:DH107))</f>
        <v>35</v>
      </c>
      <c r="DJ107" s="12">
        <f>DI107*2200</f>
        <v>77000</v>
      </c>
      <c r="DK107" s="12">
        <f t="shared" si="315"/>
        <v>0</v>
      </c>
      <c r="DL107" s="12">
        <f>DK107*2200</f>
        <v>0</v>
      </c>
      <c r="DM107" s="12">
        <f t="shared" si="316"/>
        <v>0</v>
      </c>
      <c r="DN107" s="12">
        <f>DM107*2200</f>
        <v>0</v>
      </c>
      <c r="DO107" s="12">
        <f t="shared" si="317"/>
        <v>0</v>
      </c>
      <c r="DP107" s="12">
        <f>DO107*2200</f>
        <v>0</v>
      </c>
      <c r="DQ107" s="12">
        <f t="shared" si="318"/>
        <v>0</v>
      </c>
      <c r="DR107" s="12">
        <f>DQ107*2200</f>
        <v>0</v>
      </c>
      <c r="DS107" s="12">
        <f t="shared" si="319"/>
        <v>0</v>
      </c>
      <c r="DT107" s="12">
        <f>DS107*2200</f>
        <v>0</v>
      </c>
    </row>
    <row r="108" spans="1:124" ht="14.25" customHeight="1">
      <c r="A108" s="30">
        <v>104</v>
      </c>
      <c r="B108" s="19" t="s">
        <v>143</v>
      </c>
      <c r="C108" s="15" t="s">
        <v>32</v>
      </c>
      <c r="D108" s="95"/>
      <c r="E108" s="56">
        <v>0</v>
      </c>
      <c r="F108" s="103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2">
        <f t="shared" si="312"/>
        <v>0</v>
      </c>
      <c r="AP108" s="151">
        <f>(AO108*10)+(AO109*10)</f>
        <v>0</v>
      </c>
      <c r="AQ108" s="151">
        <f t="shared" si="313"/>
        <v>140</v>
      </c>
      <c r="AR108" s="40" t="s">
        <v>302</v>
      </c>
      <c r="AS108" s="126">
        <f t="shared" si="311"/>
        <v>4</v>
      </c>
      <c r="AT108" s="56">
        <v>7</v>
      </c>
      <c r="AU108" s="50"/>
      <c r="AV108" s="12"/>
      <c r="AW108" s="12"/>
      <c r="AX108" s="12"/>
      <c r="AY108" s="12">
        <f>J108*120</f>
        <v>0</v>
      </c>
      <c r="AZ108" s="12">
        <f t="shared" ref="AZ108:CC109" si="373">K108*120</f>
        <v>0</v>
      </c>
      <c r="BA108" s="12">
        <f t="shared" si="373"/>
        <v>0</v>
      </c>
      <c r="BB108" s="12">
        <f t="shared" si="373"/>
        <v>0</v>
      </c>
      <c r="BC108" s="12">
        <f t="shared" si="373"/>
        <v>0</v>
      </c>
      <c r="BD108" s="12">
        <f t="shared" si="373"/>
        <v>0</v>
      </c>
      <c r="BE108" s="12">
        <f t="shared" si="373"/>
        <v>0</v>
      </c>
      <c r="BF108" s="12">
        <f t="shared" si="373"/>
        <v>0</v>
      </c>
      <c r="BG108" s="12">
        <f t="shared" si="373"/>
        <v>0</v>
      </c>
      <c r="BH108" s="12">
        <f t="shared" si="373"/>
        <v>0</v>
      </c>
      <c r="BI108" s="12">
        <f t="shared" si="373"/>
        <v>0</v>
      </c>
      <c r="BJ108" s="12">
        <f t="shared" si="373"/>
        <v>0</v>
      </c>
      <c r="BK108" s="12">
        <f t="shared" si="373"/>
        <v>0</v>
      </c>
      <c r="BL108" s="12">
        <f t="shared" si="373"/>
        <v>0</v>
      </c>
      <c r="BM108" s="12">
        <f t="shared" si="373"/>
        <v>0</v>
      </c>
      <c r="BN108" s="12">
        <f t="shared" si="373"/>
        <v>0</v>
      </c>
      <c r="BO108" s="12">
        <f t="shared" si="373"/>
        <v>0</v>
      </c>
      <c r="BP108" s="12">
        <f t="shared" si="373"/>
        <v>0</v>
      </c>
      <c r="BQ108" s="12">
        <f t="shared" si="373"/>
        <v>0</v>
      </c>
      <c r="BR108" s="12">
        <f t="shared" si="373"/>
        <v>0</v>
      </c>
      <c r="BS108" s="12">
        <f t="shared" si="373"/>
        <v>0</v>
      </c>
      <c r="BT108" s="12">
        <f t="shared" si="373"/>
        <v>0</v>
      </c>
      <c r="BU108" s="12">
        <f t="shared" si="373"/>
        <v>0</v>
      </c>
      <c r="BV108" s="12">
        <f t="shared" si="373"/>
        <v>0</v>
      </c>
      <c r="BW108" s="12">
        <f t="shared" si="373"/>
        <v>0</v>
      </c>
      <c r="BX108" s="12">
        <f t="shared" si="373"/>
        <v>0</v>
      </c>
      <c r="BY108" s="12">
        <f t="shared" si="373"/>
        <v>0</v>
      </c>
      <c r="BZ108" s="12">
        <f t="shared" si="373"/>
        <v>0</v>
      </c>
      <c r="CA108" s="12">
        <f t="shared" si="373"/>
        <v>0</v>
      </c>
      <c r="CB108" s="12">
        <f t="shared" si="373"/>
        <v>0</v>
      </c>
      <c r="CC108" s="12">
        <f t="shared" si="373"/>
        <v>0</v>
      </c>
      <c r="CD108" s="12"/>
      <c r="CE108" s="17"/>
      <c r="CF108" s="17"/>
      <c r="CG108" s="17">
        <v>2</v>
      </c>
      <c r="CH108" s="17"/>
      <c r="CI108" s="17"/>
      <c r="CJ108" s="17"/>
      <c r="CK108" s="17"/>
      <c r="CL108" s="17"/>
      <c r="CM108" s="17"/>
      <c r="CN108" s="17"/>
      <c r="CO108" s="17">
        <v>1</v>
      </c>
      <c r="CP108" s="12"/>
      <c r="CQ108" s="17"/>
      <c r="CR108" s="17"/>
      <c r="CS108" s="17"/>
      <c r="CT108" s="17"/>
      <c r="CU108" s="17"/>
      <c r="CV108" s="12"/>
      <c r="CW108" s="17"/>
      <c r="CX108" s="17"/>
      <c r="CY108" s="17"/>
      <c r="CZ108" s="17"/>
      <c r="DA108" s="17"/>
      <c r="DB108" s="17"/>
      <c r="DC108" s="17"/>
      <c r="DD108" s="17"/>
      <c r="DE108" s="12"/>
      <c r="DF108" s="17"/>
      <c r="DG108" s="17"/>
      <c r="DH108" s="17"/>
      <c r="DI108" s="36">
        <f>(AT108+SUM(AU108:AX108)*12+SUM(AY108:CC108)-SUM(CD108:DH108))</f>
        <v>4</v>
      </c>
      <c r="DJ108" s="151">
        <f>(DI108*10)+(DI109*10)</f>
        <v>140</v>
      </c>
      <c r="DK108" s="12">
        <f t="shared" si="315"/>
        <v>2</v>
      </c>
      <c r="DL108" s="12">
        <f t="shared" ref="DL108:DL109" si="374">DK108*10</f>
        <v>20</v>
      </c>
      <c r="DM108" s="12">
        <f t="shared" si="316"/>
        <v>1</v>
      </c>
      <c r="DN108" s="12">
        <f t="shared" ref="DN108:DN109" si="375">DM108*10</f>
        <v>10</v>
      </c>
      <c r="DO108" s="12">
        <f t="shared" si="317"/>
        <v>0</v>
      </c>
      <c r="DP108" s="12">
        <f t="shared" ref="DP108:DP109" si="376">DO108*10</f>
        <v>0</v>
      </c>
      <c r="DQ108" s="12">
        <f t="shared" si="318"/>
        <v>0</v>
      </c>
      <c r="DR108" s="12">
        <f t="shared" ref="DR108:DR109" si="377">DQ108*10</f>
        <v>0</v>
      </c>
      <c r="DS108" s="12">
        <f t="shared" si="319"/>
        <v>3</v>
      </c>
      <c r="DT108" s="151">
        <f>(DS108*10)+(DS109*10)</f>
        <v>50</v>
      </c>
    </row>
    <row r="109" spans="1:124" ht="14.25" customHeight="1">
      <c r="A109" s="30">
        <v>105</v>
      </c>
      <c r="B109" s="19" t="s">
        <v>144</v>
      </c>
      <c r="C109" s="15" t="s">
        <v>32</v>
      </c>
      <c r="D109" s="95"/>
      <c r="E109" s="56">
        <v>0</v>
      </c>
      <c r="F109" s="103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2">
        <f t="shared" si="312"/>
        <v>0</v>
      </c>
      <c r="AP109" s="152"/>
      <c r="AQ109" s="152"/>
      <c r="AR109" s="40" t="s">
        <v>303</v>
      </c>
      <c r="AS109" s="126">
        <f t="shared" si="311"/>
        <v>10</v>
      </c>
      <c r="AT109" s="56">
        <v>0</v>
      </c>
      <c r="AU109" s="50">
        <v>1</v>
      </c>
      <c r="AV109" s="12"/>
      <c r="AW109" s="12"/>
      <c r="AX109" s="12"/>
      <c r="AY109" s="12">
        <f>J109*120</f>
        <v>0</v>
      </c>
      <c r="AZ109" s="12">
        <f t="shared" si="373"/>
        <v>0</v>
      </c>
      <c r="BA109" s="12">
        <f t="shared" si="373"/>
        <v>0</v>
      </c>
      <c r="BB109" s="12">
        <f t="shared" si="373"/>
        <v>0</v>
      </c>
      <c r="BC109" s="12">
        <f t="shared" si="373"/>
        <v>0</v>
      </c>
      <c r="BD109" s="12">
        <f t="shared" si="373"/>
        <v>0</v>
      </c>
      <c r="BE109" s="12">
        <f t="shared" si="373"/>
        <v>0</v>
      </c>
      <c r="BF109" s="12">
        <f t="shared" si="373"/>
        <v>0</v>
      </c>
      <c r="BG109" s="12">
        <f t="shared" si="373"/>
        <v>0</v>
      </c>
      <c r="BH109" s="12">
        <f t="shared" si="373"/>
        <v>0</v>
      </c>
      <c r="BI109" s="12">
        <f t="shared" si="373"/>
        <v>0</v>
      </c>
      <c r="BJ109" s="12">
        <f t="shared" si="373"/>
        <v>0</v>
      </c>
      <c r="BK109" s="12">
        <f t="shared" si="373"/>
        <v>0</v>
      </c>
      <c r="BL109" s="12">
        <f t="shared" si="373"/>
        <v>0</v>
      </c>
      <c r="BM109" s="12">
        <f t="shared" si="373"/>
        <v>0</v>
      </c>
      <c r="BN109" s="12">
        <f t="shared" si="373"/>
        <v>0</v>
      </c>
      <c r="BO109" s="12">
        <f t="shared" si="373"/>
        <v>0</v>
      </c>
      <c r="BP109" s="12">
        <f t="shared" si="373"/>
        <v>0</v>
      </c>
      <c r="BQ109" s="12">
        <f t="shared" si="373"/>
        <v>0</v>
      </c>
      <c r="BR109" s="12">
        <f t="shared" si="373"/>
        <v>0</v>
      </c>
      <c r="BS109" s="12">
        <f t="shared" si="373"/>
        <v>0</v>
      </c>
      <c r="BT109" s="12">
        <f t="shared" si="373"/>
        <v>0</v>
      </c>
      <c r="BU109" s="12">
        <f t="shared" si="373"/>
        <v>0</v>
      </c>
      <c r="BV109" s="12">
        <f t="shared" si="373"/>
        <v>0</v>
      </c>
      <c r="BW109" s="12">
        <f t="shared" si="373"/>
        <v>0</v>
      </c>
      <c r="BX109" s="12">
        <f t="shared" si="373"/>
        <v>0</v>
      </c>
      <c r="BY109" s="12">
        <f t="shared" si="373"/>
        <v>0</v>
      </c>
      <c r="BZ109" s="12">
        <f t="shared" si="373"/>
        <v>0</v>
      </c>
      <c r="CA109" s="12">
        <f t="shared" si="373"/>
        <v>0</v>
      </c>
      <c r="CB109" s="12">
        <f t="shared" si="373"/>
        <v>0</v>
      </c>
      <c r="CC109" s="12">
        <f t="shared" si="373"/>
        <v>0</v>
      </c>
      <c r="CD109" s="12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>
        <v>2</v>
      </c>
      <c r="CP109" s="12"/>
      <c r="CQ109" s="17"/>
      <c r="CR109" s="17"/>
      <c r="CS109" s="17"/>
      <c r="CT109" s="17"/>
      <c r="CU109" s="17"/>
      <c r="CV109" s="12"/>
      <c r="CW109" s="17"/>
      <c r="CX109" s="17"/>
      <c r="CY109" s="17"/>
      <c r="CZ109" s="17"/>
      <c r="DA109" s="17"/>
      <c r="DB109" s="17"/>
      <c r="DC109" s="17"/>
      <c r="DD109" s="17"/>
      <c r="DE109" s="12"/>
      <c r="DF109" s="17"/>
      <c r="DG109" s="17"/>
      <c r="DH109" s="17"/>
      <c r="DI109" s="36">
        <f>(AT109+SUM(AU109:AX109)*12+SUM(AY109:CC109)-SUM(CD109:DH109))</f>
        <v>10</v>
      </c>
      <c r="DJ109" s="152"/>
      <c r="DK109" s="12">
        <f t="shared" si="315"/>
        <v>0</v>
      </c>
      <c r="DL109" s="12">
        <f t="shared" si="374"/>
        <v>0</v>
      </c>
      <c r="DM109" s="12">
        <f t="shared" si="316"/>
        <v>2</v>
      </c>
      <c r="DN109" s="12">
        <f t="shared" si="375"/>
        <v>20</v>
      </c>
      <c r="DO109" s="12">
        <f t="shared" si="317"/>
        <v>0</v>
      </c>
      <c r="DP109" s="12">
        <f t="shared" si="376"/>
        <v>0</v>
      </c>
      <c r="DQ109" s="12">
        <f t="shared" si="318"/>
        <v>0</v>
      </c>
      <c r="DR109" s="12">
        <f t="shared" si="377"/>
        <v>0</v>
      </c>
      <c r="DS109" s="12">
        <f t="shared" si="319"/>
        <v>2</v>
      </c>
      <c r="DT109" s="152"/>
    </row>
    <row r="110" spans="1:124" ht="14.25" customHeight="1">
      <c r="A110" s="28">
        <v>106</v>
      </c>
      <c r="B110" s="19" t="s">
        <v>145</v>
      </c>
      <c r="C110" s="14"/>
      <c r="D110" s="95"/>
      <c r="E110" s="56">
        <v>0</v>
      </c>
      <c r="F110" s="103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2">
        <f t="shared" si="312"/>
        <v>0</v>
      </c>
      <c r="AP110" s="17">
        <f>AO110</f>
        <v>0</v>
      </c>
      <c r="AQ110" s="12">
        <f>AP110+DJ110</f>
        <v>20</v>
      </c>
      <c r="AR110" s="20"/>
      <c r="AS110" s="126">
        <f t="shared" si="311"/>
        <v>20</v>
      </c>
      <c r="AT110" s="56">
        <v>20</v>
      </c>
      <c r="AU110" s="50"/>
      <c r="AV110" s="12"/>
      <c r="AW110" s="12"/>
      <c r="AX110" s="12"/>
      <c r="AY110" s="12">
        <f>J110*50</f>
        <v>0</v>
      </c>
      <c r="AZ110" s="12">
        <f t="shared" ref="AZ110:CC110" si="378">K110*50</f>
        <v>0</v>
      </c>
      <c r="BA110" s="12">
        <f t="shared" si="378"/>
        <v>0</v>
      </c>
      <c r="BB110" s="12">
        <f t="shared" si="378"/>
        <v>0</v>
      </c>
      <c r="BC110" s="12">
        <f t="shared" si="378"/>
        <v>0</v>
      </c>
      <c r="BD110" s="12">
        <f t="shared" si="378"/>
        <v>0</v>
      </c>
      <c r="BE110" s="12">
        <f t="shared" si="378"/>
        <v>0</v>
      </c>
      <c r="BF110" s="12">
        <f t="shared" si="378"/>
        <v>0</v>
      </c>
      <c r="BG110" s="12">
        <f t="shared" si="378"/>
        <v>0</v>
      </c>
      <c r="BH110" s="12">
        <f t="shared" si="378"/>
        <v>0</v>
      </c>
      <c r="BI110" s="12">
        <f t="shared" si="378"/>
        <v>0</v>
      </c>
      <c r="BJ110" s="12">
        <f t="shared" si="378"/>
        <v>0</v>
      </c>
      <c r="BK110" s="12">
        <f t="shared" si="378"/>
        <v>0</v>
      </c>
      <c r="BL110" s="12">
        <f t="shared" si="378"/>
        <v>0</v>
      </c>
      <c r="BM110" s="12">
        <f t="shared" si="378"/>
        <v>0</v>
      </c>
      <c r="BN110" s="12">
        <f t="shared" si="378"/>
        <v>0</v>
      </c>
      <c r="BO110" s="12">
        <f t="shared" si="378"/>
        <v>0</v>
      </c>
      <c r="BP110" s="12">
        <f t="shared" si="378"/>
        <v>0</v>
      </c>
      <c r="BQ110" s="12">
        <f t="shared" si="378"/>
        <v>0</v>
      </c>
      <c r="BR110" s="12">
        <f t="shared" si="378"/>
        <v>0</v>
      </c>
      <c r="BS110" s="12">
        <f t="shared" si="378"/>
        <v>0</v>
      </c>
      <c r="BT110" s="12">
        <f t="shared" si="378"/>
        <v>0</v>
      </c>
      <c r="BU110" s="12">
        <f t="shared" si="378"/>
        <v>0</v>
      </c>
      <c r="BV110" s="12">
        <f t="shared" si="378"/>
        <v>0</v>
      </c>
      <c r="BW110" s="12">
        <f t="shared" si="378"/>
        <v>0</v>
      </c>
      <c r="BX110" s="12">
        <f t="shared" si="378"/>
        <v>0</v>
      </c>
      <c r="BY110" s="12">
        <f t="shared" si="378"/>
        <v>0</v>
      </c>
      <c r="BZ110" s="12">
        <f t="shared" si="378"/>
        <v>0</v>
      </c>
      <c r="CA110" s="12">
        <f t="shared" si="378"/>
        <v>0</v>
      </c>
      <c r="CB110" s="12">
        <f t="shared" si="378"/>
        <v>0</v>
      </c>
      <c r="CC110" s="12">
        <f t="shared" si="378"/>
        <v>0</v>
      </c>
      <c r="CD110" s="12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2"/>
      <c r="CQ110" s="17"/>
      <c r="CR110" s="17"/>
      <c r="CS110" s="17"/>
      <c r="CT110" s="17"/>
      <c r="CU110" s="17"/>
      <c r="CV110" s="12"/>
      <c r="CW110" s="17"/>
      <c r="CX110" s="17"/>
      <c r="CY110" s="17"/>
      <c r="CZ110" s="17"/>
      <c r="DA110" s="17"/>
      <c r="DB110" s="17"/>
      <c r="DC110" s="17"/>
      <c r="DD110" s="17"/>
      <c r="DE110" s="12"/>
      <c r="DF110" s="17"/>
      <c r="DG110" s="17"/>
      <c r="DH110" s="17"/>
      <c r="DI110" s="36">
        <f>(AT110+SUM(AU110:AX110)*50+SUM(AY110:CC110)-SUM(CD110:DH110))</f>
        <v>20</v>
      </c>
      <c r="DJ110" s="12">
        <f>DI110</f>
        <v>20</v>
      </c>
      <c r="DK110" s="12">
        <f t="shared" si="315"/>
        <v>0</v>
      </c>
      <c r="DL110" s="12">
        <f>DK110</f>
        <v>0</v>
      </c>
      <c r="DM110" s="12">
        <f t="shared" si="316"/>
        <v>0</v>
      </c>
      <c r="DN110" s="12">
        <f>DM110</f>
        <v>0</v>
      </c>
      <c r="DO110" s="12">
        <f t="shared" si="317"/>
        <v>0</v>
      </c>
      <c r="DP110" s="12">
        <f>DO110</f>
        <v>0</v>
      </c>
      <c r="DQ110" s="12">
        <f t="shared" si="318"/>
        <v>0</v>
      </c>
      <c r="DR110" s="12">
        <f>DQ110</f>
        <v>0</v>
      </c>
      <c r="DS110" s="12">
        <f t="shared" si="319"/>
        <v>0</v>
      </c>
      <c r="DT110" s="12">
        <f>DS110</f>
        <v>0</v>
      </c>
    </row>
    <row r="111" spans="1:124" ht="14.25" customHeight="1">
      <c r="A111" s="12">
        <v>107</v>
      </c>
      <c r="B111" s="19" t="s">
        <v>146</v>
      </c>
      <c r="C111" s="14"/>
      <c r="D111" s="95"/>
      <c r="E111" s="56">
        <v>0</v>
      </c>
      <c r="F111" s="103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2">
        <f t="shared" si="312"/>
        <v>0</v>
      </c>
      <c r="AP111" s="17"/>
      <c r="AQ111" s="12">
        <f>AP111+DJ111</f>
        <v>0</v>
      </c>
      <c r="AR111" s="17"/>
      <c r="AS111" s="126">
        <f t="shared" si="311"/>
        <v>0</v>
      </c>
      <c r="AT111" s="56">
        <v>0</v>
      </c>
      <c r="AU111" s="50"/>
      <c r="AV111" s="12"/>
      <c r="AW111" s="12"/>
      <c r="AX111" s="12"/>
      <c r="AY111" s="12">
        <f t="shared" si="325"/>
        <v>0</v>
      </c>
      <c r="AZ111" s="12">
        <f t="shared" si="326"/>
        <v>0</v>
      </c>
      <c r="BA111" s="12">
        <f t="shared" si="327"/>
        <v>0</v>
      </c>
      <c r="BB111" s="12">
        <f t="shared" si="328"/>
        <v>0</v>
      </c>
      <c r="BC111" s="12">
        <f t="shared" si="329"/>
        <v>0</v>
      </c>
      <c r="BD111" s="12">
        <f t="shared" si="330"/>
        <v>0</v>
      </c>
      <c r="BE111" s="12">
        <f t="shared" si="331"/>
        <v>0</v>
      </c>
      <c r="BF111" s="12">
        <f t="shared" si="332"/>
        <v>0</v>
      </c>
      <c r="BG111" s="12">
        <f t="shared" si="333"/>
        <v>0</v>
      </c>
      <c r="BH111" s="12">
        <f t="shared" si="334"/>
        <v>0</v>
      </c>
      <c r="BI111" s="12">
        <f t="shared" si="335"/>
        <v>0</v>
      </c>
      <c r="BJ111" s="12">
        <f t="shared" si="336"/>
        <v>0</v>
      </c>
      <c r="BK111" s="12">
        <f t="shared" si="337"/>
        <v>0</v>
      </c>
      <c r="BL111" s="12">
        <f t="shared" si="338"/>
        <v>0</v>
      </c>
      <c r="BM111" s="12">
        <f t="shared" si="339"/>
        <v>0</v>
      </c>
      <c r="BN111" s="12">
        <f t="shared" si="340"/>
        <v>0</v>
      </c>
      <c r="BO111" s="12">
        <f t="shared" si="341"/>
        <v>0</v>
      </c>
      <c r="BP111" s="12">
        <f t="shared" si="342"/>
        <v>0</v>
      </c>
      <c r="BQ111" s="12">
        <f t="shared" si="343"/>
        <v>0</v>
      </c>
      <c r="BR111" s="12">
        <f t="shared" si="344"/>
        <v>0</v>
      </c>
      <c r="BS111" s="12">
        <f t="shared" si="345"/>
        <v>0</v>
      </c>
      <c r="BT111" s="12">
        <f t="shared" si="346"/>
        <v>0</v>
      </c>
      <c r="BU111" s="12">
        <f t="shared" si="347"/>
        <v>0</v>
      </c>
      <c r="BV111" s="12">
        <f t="shared" si="348"/>
        <v>0</v>
      </c>
      <c r="BW111" s="12">
        <f t="shared" si="349"/>
        <v>0</v>
      </c>
      <c r="BX111" s="12">
        <f t="shared" si="350"/>
        <v>0</v>
      </c>
      <c r="BY111" s="12">
        <f t="shared" si="351"/>
        <v>0</v>
      </c>
      <c r="BZ111" s="12">
        <f t="shared" si="352"/>
        <v>0</v>
      </c>
      <c r="CA111" s="12">
        <f t="shared" si="353"/>
        <v>0</v>
      </c>
      <c r="CB111" s="12">
        <f t="shared" si="354"/>
        <v>0</v>
      </c>
      <c r="CC111" s="12">
        <f t="shared" si="355"/>
        <v>0</v>
      </c>
      <c r="CD111" s="12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2"/>
      <c r="CQ111" s="17"/>
      <c r="CR111" s="17"/>
      <c r="CS111" s="17"/>
      <c r="CT111" s="17"/>
      <c r="CU111" s="17"/>
      <c r="CV111" s="12"/>
      <c r="CW111" s="17"/>
      <c r="CX111" s="17"/>
      <c r="CY111" s="17"/>
      <c r="CZ111" s="17"/>
      <c r="DA111" s="17"/>
      <c r="DB111" s="17"/>
      <c r="DC111" s="17"/>
      <c r="DD111" s="17"/>
      <c r="DE111" s="12"/>
      <c r="DF111" s="17"/>
      <c r="DG111" s="17"/>
      <c r="DH111" s="17"/>
      <c r="DI111" s="36">
        <f>(AT111+SUM(AU111:AX111)+SUM(AY111:CC111)-SUM(CD111:DH111))</f>
        <v>0</v>
      </c>
      <c r="DJ111" s="12"/>
      <c r="DK111" s="12">
        <f t="shared" si="315"/>
        <v>0</v>
      </c>
      <c r="DL111" s="12">
        <f>DK111*1800</f>
        <v>0</v>
      </c>
      <c r="DM111" s="12">
        <f t="shared" si="316"/>
        <v>0</v>
      </c>
      <c r="DN111" s="12">
        <f>DM111*1800</f>
        <v>0</v>
      </c>
      <c r="DO111" s="12">
        <f t="shared" si="317"/>
        <v>0</v>
      </c>
      <c r="DP111" s="12">
        <f>DO111*1800</f>
        <v>0</v>
      </c>
      <c r="DQ111" s="12">
        <f t="shared" si="318"/>
        <v>0</v>
      </c>
      <c r="DR111" s="12">
        <f>DQ111*1800</f>
        <v>0</v>
      </c>
      <c r="DS111" s="12">
        <f t="shared" si="319"/>
        <v>0</v>
      </c>
      <c r="DT111" s="12">
        <f>DS111*1800</f>
        <v>0</v>
      </c>
    </row>
    <row r="112" spans="1:124" ht="14.25" customHeight="1">
      <c r="A112" s="30">
        <v>108</v>
      </c>
      <c r="B112" s="19" t="s">
        <v>147</v>
      </c>
      <c r="C112" s="15" t="s">
        <v>32</v>
      </c>
      <c r="D112" s="95"/>
      <c r="E112" s="56">
        <v>0</v>
      </c>
      <c r="F112" s="103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2">
        <f t="shared" si="312"/>
        <v>0</v>
      </c>
      <c r="AP112" s="17">
        <f>AO112*17</f>
        <v>0</v>
      </c>
      <c r="AQ112" s="12">
        <f>AP112+DJ112</f>
        <v>0</v>
      </c>
      <c r="AR112" s="42"/>
      <c r="AS112" s="126">
        <f t="shared" si="311"/>
        <v>0</v>
      </c>
      <c r="AT112" s="56">
        <v>0</v>
      </c>
      <c r="AU112" s="50"/>
      <c r="AV112" s="12"/>
      <c r="AW112" s="12"/>
      <c r="AX112" s="12"/>
      <c r="AY112" s="12">
        <f>J112*136</f>
        <v>0</v>
      </c>
      <c r="AZ112" s="12">
        <f t="shared" ref="AZ112:CC112" si="379">K112*136</f>
        <v>0</v>
      </c>
      <c r="BA112" s="12">
        <f t="shared" si="379"/>
        <v>0</v>
      </c>
      <c r="BB112" s="12">
        <f t="shared" si="379"/>
        <v>0</v>
      </c>
      <c r="BC112" s="12">
        <f t="shared" si="379"/>
        <v>0</v>
      </c>
      <c r="BD112" s="12">
        <f t="shared" si="379"/>
        <v>0</v>
      </c>
      <c r="BE112" s="12">
        <f t="shared" si="379"/>
        <v>0</v>
      </c>
      <c r="BF112" s="12">
        <f t="shared" si="379"/>
        <v>0</v>
      </c>
      <c r="BG112" s="12">
        <f t="shared" si="379"/>
        <v>0</v>
      </c>
      <c r="BH112" s="12">
        <f t="shared" si="379"/>
        <v>0</v>
      </c>
      <c r="BI112" s="12">
        <f t="shared" si="379"/>
        <v>0</v>
      </c>
      <c r="BJ112" s="12">
        <f t="shared" si="379"/>
        <v>0</v>
      </c>
      <c r="BK112" s="12">
        <f t="shared" si="379"/>
        <v>0</v>
      </c>
      <c r="BL112" s="12">
        <f t="shared" si="379"/>
        <v>0</v>
      </c>
      <c r="BM112" s="12">
        <f t="shared" si="379"/>
        <v>0</v>
      </c>
      <c r="BN112" s="12">
        <f t="shared" si="379"/>
        <v>0</v>
      </c>
      <c r="BO112" s="12">
        <f t="shared" si="379"/>
        <v>0</v>
      </c>
      <c r="BP112" s="12">
        <f t="shared" si="379"/>
        <v>0</v>
      </c>
      <c r="BQ112" s="12">
        <f t="shared" si="379"/>
        <v>0</v>
      </c>
      <c r="BR112" s="12">
        <f t="shared" si="379"/>
        <v>0</v>
      </c>
      <c r="BS112" s="12">
        <f t="shared" si="379"/>
        <v>0</v>
      </c>
      <c r="BT112" s="12">
        <f t="shared" si="379"/>
        <v>0</v>
      </c>
      <c r="BU112" s="12">
        <f t="shared" si="379"/>
        <v>0</v>
      </c>
      <c r="BV112" s="12">
        <f t="shared" si="379"/>
        <v>0</v>
      </c>
      <c r="BW112" s="12">
        <f t="shared" si="379"/>
        <v>0</v>
      </c>
      <c r="BX112" s="12">
        <f t="shared" si="379"/>
        <v>0</v>
      </c>
      <c r="BY112" s="12">
        <f t="shared" si="379"/>
        <v>0</v>
      </c>
      <c r="BZ112" s="12">
        <f t="shared" si="379"/>
        <v>0</v>
      </c>
      <c r="CA112" s="12">
        <f t="shared" si="379"/>
        <v>0</v>
      </c>
      <c r="CB112" s="12">
        <f t="shared" si="379"/>
        <v>0</v>
      </c>
      <c r="CC112" s="12">
        <f t="shared" si="379"/>
        <v>0</v>
      </c>
      <c r="CD112" s="12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2"/>
      <c r="CQ112" s="17"/>
      <c r="CR112" s="17"/>
      <c r="CS112" s="17"/>
      <c r="CT112" s="17"/>
      <c r="CU112" s="17"/>
      <c r="CV112" s="12"/>
      <c r="CW112" s="17"/>
      <c r="CX112" s="17"/>
      <c r="CY112" s="17"/>
      <c r="CZ112" s="17"/>
      <c r="DA112" s="17"/>
      <c r="DB112" s="17"/>
      <c r="DC112" s="17"/>
      <c r="DD112" s="17"/>
      <c r="DE112" s="12"/>
      <c r="DF112" s="17"/>
      <c r="DG112" s="17"/>
      <c r="DH112" s="17"/>
      <c r="DI112" s="36">
        <f>(AT112+SUM(AU112:AX112)+SUM(AY112:CC112)-SUM(CD112:DH112))</f>
        <v>0</v>
      </c>
      <c r="DJ112" s="12">
        <f>DI112*136</f>
        <v>0</v>
      </c>
      <c r="DK112" s="12">
        <f t="shared" si="315"/>
        <v>0</v>
      </c>
      <c r="DL112" s="12">
        <f>DK112*17</f>
        <v>0</v>
      </c>
      <c r="DM112" s="12">
        <f t="shared" si="316"/>
        <v>0</v>
      </c>
      <c r="DN112" s="12">
        <f>DM112*17</f>
        <v>0</v>
      </c>
      <c r="DO112" s="12">
        <f t="shared" si="317"/>
        <v>0</v>
      </c>
      <c r="DP112" s="12">
        <f>DO112*17</f>
        <v>0</v>
      </c>
      <c r="DQ112" s="12">
        <f t="shared" si="318"/>
        <v>0</v>
      </c>
      <c r="DR112" s="12">
        <f>DQ112*17</f>
        <v>0</v>
      </c>
      <c r="DS112" s="12">
        <f t="shared" si="319"/>
        <v>0</v>
      </c>
      <c r="DT112" s="12">
        <f>DS112*17</f>
        <v>0</v>
      </c>
    </row>
    <row r="113" spans="1:129" ht="14.25" customHeight="1">
      <c r="A113" s="30">
        <v>109</v>
      </c>
      <c r="B113" s="19" t="s">
        <v>148</v>
      </c>
      <c r="C113" s="15" t="s">
        <v>32</v>
      </c>
      <c r="D113" s="95"/>
      <c r="E113" s="56">
        <v>0</v>
      </c>
      <c r="F113" s="103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2">
        <f t="shared" si="312"/>
        <v>0</v>
      </c>
      <c r="AP113" s="17">
        <f>AO113*12</f>
        <v>0</v>
      </c>
      <c r="AQ113" s="12">
        <f>AP113+DJ113</f>
        <v>384</v>
      </c>
      <c r="AR113" s="40"/>
      <c r="AS113" s="126">
        <f t="shared" si="311"/>
        <v>4</v>
      </c>
      <c r="AT113" s="56">
        <v>3</v>
      </c>
      <c r="AU113" s="50">
        <v>2</v>
      </c>
      <c r="AV113" s="12"/>
      <c r="AW113" s="12"/>
      <c r="AX113" s="12"/>
      <c r="AY113" s="12">
        <f>J113*96</f>
        <v>0</v>
      </c>
      <c r="AZ113" s="12">
        <f t="shared" si="326"/>
        <v>0</v>
      </c>
      <c r="BA113" s="12">
        <f t="shared" si="327"/>
        <v>0</v>
      </c>
      <c r="BB113" s="12">
        <f t="shared" si="328"/>
        <v>0</v>
      </c>
      <c r="BC113" s="12">
        <f t="shared" si="329"/>
        <v>0</v>
      </c>
      <c r="BD113" s="12">
        <f t="shared" si="330"/>
        <v>0</v>
      </c>
      <c r="BE113" s="12">
        <f t="shared" si="331"/>
        <v>0</v>
      </c>
      <c r="BF113" s="12">
        <f t="shared" si="332"/>
        <v>0</v>
      </c>
      <c r="BG113" s="12">
        <f t="shared" si="333"/>
        <v>0</v>
      </c>
      <c r="BH113" s="12">
        <f t="shared" si="334"/>
        <v>0</v>
      </c>
      <c r="BI113" s="12">
        <f t="shared" si="335"/>
        <v>0</v>
      </c>
      <c r="BJ113" s="12">
        <f t="shared" si="336"/>
        <v>0</v>
      </c>
      <c r="BK113" s="12">
        <f t="shared" si="337"/>
        <v>0</v>
      </c>
      <c r="BL113" s="12">
        <f t="shared" si="338"/>
        <v>0</v>
      </c>
      <c r="BM113" s="12">
        <f t="shared" si="339"/>
        <v>0</v>
      </c>
      <c r="BN113" s="12">
        <f t="shared" si="340"/>
        <v>0</v>
      </c>
      <c r="BO113" s="12">
        <f t="shared" si="341"/>
        <v>0</v>
      </c>
      <c r="BP113" s="12">
        <f t="shared" si="342"/>
        <v>0</v>
      </c>
      <c r="BQ113" s="12">
        <f t="shared" si="343"/>
        <v>0</v>
      </c>
      <c r="BR113" s="12">
        <f t="shared" si="344"/>
        <v>0</v>
      </c>
      <c r="BS113" s="12">
        <f t="shared" si="345"/>
        <v>0</v>
      </c>
      <c r="BT113" s="12">
        <f t="shared" si="346"/>
        <v>0</v>
      </c>
      <c r="BU113" s="12">
        <f t="shared" si="347"/>
        <v>0</v>
      </c>
      <c r="BV113" s="12">
        <f t="shared" si="348"/>
        <v>0</v>
      </c>
      <c r="BW113" s="12">
        <f t="shared" si="349"/>
        <v>0</v>
      </c>
      <c r="BX113" s="12">
        <f t="shared" si="350"/>
        <v>0</v>
      </c>
      <c r="BY113" s="12">
        <f t="shared" si="351"/>
        <v>0</v>
      </c>
      <c r="BZ113" s="12">
        <f t="shared" si="352"/>
        <v>0</v>
      </c>
      <c r="CA113" s="12">
        <f t="shared" si="353"/>
        <v>0</v>
      </c>
      <c r="CB113" s="12">
        <f t="shared" si="354"/>
        <v>0</v>
      </c>
      <c r="CC113" s="12">
        <f t="shared" si="355"/>
        <v>0</v>
      </c>
      <c r="CD113" s="12"/>
      <c r="CE113" s="17"/>
      <c r="CF113" s="17"/>
      <c r="CG113" s="17">
        <v>1</v>
      </c>
      <c r="CH113" s="17"/>
      <c r="CI113" s="17"/>
      <c r="CJ113" s="17"/>
      <c r="CK113" s="17"/>
      <c r="CL113" s="17"/>
      <c r="CM113" s="17"/>
      <c r="CN113" s="17"/>
      <c r="CO113" s="17"/>
      <c r="CP113" s="12"/>
      <c r="CQ113" s="17"/>
      <c r="CR113" s="17"/>
      <c r="CS113" s="17"/>
      <c r="CT113" s="17"/>
      <c r="CU113" s="17"/>
      <c r="CV113" s="12"/>
      <c r="CW113" s="17"/>
      <c r="CX113" s="17"/>
      <c r="CY113" s="17"/>
      <c r="CZ113" s="17"/>
      <c r="DA113" s="17"/>
      <c r="DB113" s="17"/>
      <c r="DC113" s="17"/>
      <c r="DD113" s="17"/>
      <c r="DE113" s="12"/>
      <c r="DF113" s="17"/>
      <c r="DG113" s="17"/>
      <c r="DH113" s="17"/>
      <c r="DI113" s="36">
        <f>(AT113+SUM(AU113:AX113)+SUM(AY113:CC113)-SUM(CD113:DH113))</f>
        <v>4</v>
      </c>
      <c r="DJ113" s="12">
        <f>DI113*96</f>
        <v>384</v>
      </c>
      <c r="DK113" s="12">
        <f t="shared" si="315"/>
        <v>1</v>
      </c>
      <c r="DL113" s="12">
        <f>DK113*12</f>
        <v>12</v>
      </c>
      <c r="DM113" s="12">
        <f t="shared" si="316"/>
        <v>0</v>
      </c>
      <c r="DN113" s="12">
        <f>DM113*12</f>
        <v>0</v>
      </c>
      <c r="DO113" s="12">
        <f t="shared" si="317"/>
        <v>0</v>
      </c>
      <c r="DP113" s="12">
        <f>DO113*12</f>
        <v>0</v>
      </c>
      <c r="DQ113" s="12">
        <f t="shared" si="318"/>
        <v>0</v>
      </c>
      <c r="DR113" s="12">
        <f>DQ113*12</f>
        <v>0</v>
      </c>
      <c r="DS113" s="12">
        <f t="shared" si="319"/>
        <v>1</v>
      </c>
      <c r="DT113" s="12">
        <f>DS113*12</f>
        <v>12</v>
      </c>
    </row>
    <row r="114" spans="1:129" ht="14.25" customHeight="1">
      <c r="A114" s="12">
        <v>110</v>
      </c>
      <c r="B114" s="19" t="s">
        <v>149</v>
      </c>
      <c r="C114" s="15" t="s">
        <v>32</v>
      </c>
      <c r="D114" s="95"/>
      <c r="E114" s="56"/>
      <c r="F114" s="103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2"/>
      <c r="AP114" s="17"/>
      <c r="AQ114" s="12"/>
      <c r="AR114" s="17"/>
      <c r="AS114" s="126">
        <f t="shared" si="311"/>
        <v>0</v>
      </c>
      <c r="AT114" s="56">
        <v>0</v>
      </c>
      <c r="AU114" s="50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2"/>
      <c r="CQ114" s="17"/>
      <c r="CR114" s="17"/>
      <c r="CS114" s="17"/>
      <c r="CT114" s="17"/>
      <c r="CU114" s="17"/>
      <c r="CV114" s="12"/>
      <c r="CW114" s="17"/>
      <c r="CX114" s="17"/>
      <c r="CY114" s="17"/>
      <c r="CZ114" s="17"/>
      <c r="DA114" s="17"/>
      <c r="DB114" s="17"/>
      <c r="DC114" s="17"/>
      <c r="DD114" s="17"/>
      <c r="DE114" s="12"/>
      <c r="DF114" s="17"/>
      <c r="DG114" s="17"/>
      <c r="DH114" s="17"/>
      <c r="DI114" s="36">
        <f>(AT114+SUM(AU114:AX114)*120+SUM(AY114:CC114)-SUM(CD114:DH114))</f>
        <v>0</v>
      </c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</row>
    <row r="115" spans="1:129" ht="14.25" customHeight="1">
      <c r="A115" s="28">
        <v>111</v>
      </c>
      <c r="B115" s="19" t="s">
        <v>150</v>
      </c>
      <c r="C115" s="14"/>
      <c r="D115" s="95"/>
      <c r="E115" s="56">
        <v>0</v>
      </c>
      <c r="F115" s="103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2">
        <f t="shared" ref="AO115:AO191" si="380">E115+F115+G115+H115+I115-J115-K115-L115-M115-N115-O115-P115-Q115-R115-S115-T115-U115-V115-W115-X115-Y115-Z115-AA115-AB115-AC115-AD115-AE115-AF115-AG115-AH115-AI115-AJ115-AK115-AL115-AM115-AN115</f>
        <v>0</v>
      </c>
      <c r="AP115" s="17">
        <f>AO115*2400</f>
        <v>0</v>
      </c>
      <c r="AQ115" s="12">
        <f t="shared" ref="AQ115:AQ150" si="381">AP115+DJ115</f>
        <v>43200</v>
      </c>
      <c r="AR115" s="40"/>
      <c r="AS115" s="126">
        <f t="shared" si="311"/>
        <v>18</v>
      </c>
      <c r="AT115" s="56">
        <v>13</v>
      </c>
      <c r="AU115" s="50"/>
      <c r="AV115" s="12">
        <v>1</v>
      </c>
      <c r="AW115" s="12"/>
      <c r="AX115" s="12"/>
      <c r="AY115" s="12">
        <f>J115*5</f>
        <v>0</v>
      </c>
      <c r="AZ115" s="12">
        <f t="shared" ref="AZ115:CC115" si="382">K115*5</f>
        <v>0</v>
      </c>
      <c r="BA115" s="12">
        <f t="shared" si="382"/>
        <v>0</v>
      </c>
      <c r="BB115" s="12">
        <f t="shared" si="382"/>
        <v>0</v>
      </c>
      <c r="BC115" s="12">
        <f t="shared" si="382"/>
        <v>0</v>
      </c>
      <c r="BD115" s="12">
        <f t="shared" si="382"/>
        <v>0</v>
      </c>
      <c r="BE115" s="12">
        <f t="shared" si="382"/>
        <v>0</v>
      </c>
      <c r="BF115" s="12">
        <f t="shared" si="382"/>
        <v>0</v>
      </c>
      <c r="BG115" s="12">
        <f t="shared" si="382"/>
        <v>0</v>
      </c>
      <c r="BH115" s="12">
        <f t="shared" si="382"/>
        <v>0</v>
      </c>
      <c r="BI115" s="12">
        <f t="shared" si="382"/>
        <v>0</v>
      </c>
      <c r="BJ115" s="12">
        <f t="shared" si="382"/>
        <v>0</v>
      </c>
      <c r="BK115" s="12">
        <f t="shared" si="382"/>
        <v>0</v>
      </c>
      <c r="BL115" s="12">
        <f t="shared" si="382"/>
        <v>0</v>
      </c>
      <c r="BM115" s="12">
        <f t="shared" si="382"/>
        <v>0</v>
      </c>
      <c r="BN115" s="12">
        <f t="shared" si="382"/>
        <v>0</v>
      </c>
      <c r="BO115" s="12">
        <f t="shared" si="382"/>
        <v>0</v>
      </c>
      <c r="BP115" s="12">
        <f t="shared" si="382"/>
        <v>0</v>
      </c>
      <c r="BQ115" s="12">
        <f t="shared" si="382"/>
        <v>0</v>
      </c>
      <c r="BR115" s="12">
        <f t="shared" si="382"/>
        <v>0</v>
      </c>
      <c r="BS115" s="12">
        <f t="shared" si="382"/>
        <v>0</v>
      </c>
      <c r="BT115" s="12">
        <f t="shared" si="382"/>
        <v>0</v>
      </c>
      <c r="BU115" s="12">
        <f t="shared" si="382"/>
        <v>0</v>
      </c>
      <c r="BV115" s="12">
        <f t="shared" si="382"/>
        <v>0</v>
      </c>
      <c r="BW115" s="12">
        <f t="shared" si="382"/>
        <v>0</v>
      </c>
      <c r="BX115" s="12">
        <f t="shared" si="382"/>
        <v>0</v>
      </c>
      <c r="BY115" s="12">
        <f t="shared" si="382"/>
        <v>0</v>
      </c>
      <c r="BZ115" s="12">
        <f t="shared" si="382"/>
        <v>0</v>
      </c>
      <c r="CA115" s="12">
        <f t="shared" si="382"/>
        <v>0</v>
      </c>
      <c r="CB115" s="12">
        <f t="shared" si="382"/>
        <v>0</v>
      </c>
      <c r="CC115" s="12">
        <f t="shared" si="382"/>
        <v>0</v>
      </c>
      <c r="CD115" s="12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2"/>
      <c r="CQ115" s="17"/>
      <c r="CR115" s="17"/>
      <c r="CS115" s="17"/>
      <c r="CT115" s="17"/>
      <c r="CU115" s="17"/>
      <c r="CV115" s="12"/>
      <c r="CW115" s="17"/>
      <c r="CX115" s="17"/>
      <c r="CY115" s="17"/>
      <c r="CZ115" s="17"/>
      <c r="DA115" s="17"/>
      <c r="DB115" s="17"/>
      <c r="DC115" s="17"/>
      <c r="DD115" s="17"/>
      <c r="DE115" s="12"/>
      <c r="DF115" s="17"/>
      <c r="DG115" s="17"/>
      <c r="DH115" s="17"/>
      <c r="DI115" s="36">
        <f>(AT115+SUM(AU115:AX115)*5+SUM(AY115:CC115)-SUM(CD115:DH115))</f>
        <v>18</v>
      </c>
      <c r="DJ115" s="12">
        <f>DI115*2400</f>
        <v>43200</v>
      </c>
      <c r="DK115" s="12">
        <f>SUM(CD115:CJ115)</f>
        <v>0</v>
      </c>
      <c r="DL115" s="12">
        <f>DK115*2400</f>
        <v>0</v>
      </c>
      <c r="DM115" s="12">
        <f>SUM(CK115:CQ115)</f>
        <v>0</v>
      </c>
      <c r="DN115" s="12">
        <f>DM115*2400</f>
        <v>0</v>
      </c>
      <c r="DO115" s="12">
        <f>SUM(CR115:CX115)</f>
        <v>0</v>
      </c>
      <c r="DP115" s="12">
        <f>DO115*2400</f>
        <v>0</v>
      </c>
      <c r="DQ115" s="12">
        <f>SUM(CY115:DH115)</f>
        <v>0</v>
      </c>
      <c r="DR115" s="12">
        <f>DQ115*2400</f>
        <v>0</v>
      </c>
      <c r="DS115" s="12">
        <f>DK115+DM115+DO115+DQ115</f>
        <v>0</v>
      </c>
      <c r="DT115" s="12">
        <f>DS115*2400</f>
        <v>0</v>
      </c>
    </row>
    <row r="116" spans="1:129" ht="14.25" customHeight="1">
      <c r="A116" s="30">
        <v>112</v>
      </c>
      <c r="B116" s="32" t="s">
        <v>375</v>
      </c>
      <c r="C116" s="14"/>
      <c r="D116" s="102" t="s">
        <v>380</v>
      </c>
      <c r="E116" s="56">
        <v>0</v>
      </c>
      <c r="F116" s="103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2">
        <f t="shared" si="380"/>
        <v>0</v>
      </c>
      <c r="AP116" s="17"/>
      <c r="AQ116" s="12">
        <f t="shared" si="381"/>
        <v>128</v>
      </c>
      <c r="AR116" s="54" t="s">
        <v>381</v>
      </c>
      <c r="AS116" s="126">
        <f t="shared" si="311"/>
        <v>8</v>
      </c>
      <c r="AT116" s="56">
        <v>8</v>
      </c>
      <c r="AU116" s="50"/>
      <c r="AV116" s="12"/>
      <c r="AW116" s="12"/>
      <c r="AX116" s="12"/>
      <c r="AY116" s="12">
        <f t="shared" ref="AY116:AY145" si="383">J116</f>
        <v>0</v>
      </c>
      <c r="AZ116" s="12">
        <f t="shared" ref="AZ116:AZ146" si="384">K116</f>
        <v>0</v>
      </c>
      <c r="BA116" s="12">
        <f t="shared" ref="BA116:BA146" si="385">L116</f>
        <v>0</v>
      </c>
      <c r="BB116" s="12">
        <f t="shared" ref="BB116:BB146" si="386">M116</f>
        <v>0</v>
      </c>
      <c r="BC116" s="12">
        <f t="shared" ref="BC116:BC146" si="387">N116</f>
        <v>0</v>
      </c>
      <c r="BD116" s="12">
        <f t="shared" ref="BD116:BD146" si="388">O116</f>
        <v>0</v>
      </c>
      <c r="BE116" s="12">
        <f t="shared" ref="BE116:BE146" si="389">P116</f>
        <v>0</v>
      </c>
      <c r="BF116" s="12">
        <f t="shared" ref="BF116:BF146" si="390">Q116</f>
        <v>0</v>
      </c>
      <c r="BG116" s="12">
        <f t="shared" ref="BG116:BG146" si="391">R116</f>
        <v>0</v>
      </c>
      <c r="BH116" s="12">
        <f t="shared" ref="BH116:BH146" si="392">S116</f>
        <v>0</v>
      </c>
      <c r="BI116" s="12">
        <f t="shared" ref="BI116:BI146" si="393">T116</f>
        <v>0</v>
      </c>
      <c r="BJ116" s="12">
        <f t="shared" ref="BJ116:BJ146" si="394">U116</f>
        <v>0</v>
      </c>
      <c r="BK116" s="12">
        <f t="shared" ref="BK116:BK146" si="395">V116</f>
        <v>0</v>
      </c>
      <c r="BL116" s="12">
        <f t="shared" ref="BL116:BL146" si="396">W116</f>
        <v>0</v>
      </c>
      <c r="BM116" s="12">
        <f t="shared" ref="BM116:BM146" si="397">X116</f>
        <v>0</v>
      </c>
      <c r="BN116" s="12">
        <f t="shared" ref="BN116:BN146" si="398">Y116</f>
        <v>0</v>
      </c>
      <c r="BO116" s="12">
        <f t="shared" ref="BO116:BO146" si="399">Z116</f>
        <v>0</v>
      </c>
      <c r="BP116" s="12">
        <f t="shared" ref="BP116:BP146" si="400">AA116</f>
        <v>0</v>
      </c>
      <c r="BQ116" s="12">
        <f t="shared" ref="BQ116:BQ146" si="401">AB116</f>
        <v>0</v>
      </c>
      <c r="BR116" s="12">
        <f t="shared" ref="BR116:BR146" si="402">AC116</f>
        <v>0</v>
      </c>
      <c r="BS116" s="12">
        <f t="shared" ref="BS116:BS146" si="403">AD116</f>
        <v>0</v>
      </c>
      <c r="BT116" s="12">
        <f t="shared" ref="BT116:BT146" si="404">AE116</f>
        <v>0</v>
      </c>
      <c r="BU116" s="12">
        <f t="shared" ref="BU116:BU146" si="405">AF116</f>
        <v>0</v>
      </c>
      <c r="BV116" s="12">
        <f t="shared" ref="BV116:BV146" si="406">AG116</f>
        <v>0</v>
      </c>
      <c r="BW116" s="12">
        <f t="shared" ref="BW116:BW146" si="407">AH116</f>
        <v>0</v>
      </c>
      <c r="BX116" s="12">
        <f t="shared" ref="BX116:BX146" si="408">AI116</f>
        <v>0</v>
      </c>
      <c r="BY116" s="12">
        <f t="shared" ref="BY116:BY146" si="409">AJ116</f>
        <v>0</v>
      </c>
      <c r="BZ116" s="12">
        <f t="shared" ref="BZ116:BZ146" si="410">AK116</f>
        <v>0</v>
      </c>
      <c r="CA116" s="12">
        <f t="shared" ref="CA116:CA146" si="411">AL116</f>
        <v>0</v>
      </c>
      <c r="CB116" s="12">
        <f t="shared" ref="CB116:CB146" si="412">AM116</f>
        <v>0</v>
      </c>
      <c r="CC116" s="12">
        <f t="shared" ref="CC116:CC146" si="413">AN116</f>
        <v>0</v>
      </c>
      <c r="CD116" s="12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2"/>
      <c r="CQ116" s="17"/>
      <c r="CR116" s="17"/>
      <c r="CS116" s="17"/>
      <c r="CT116" s="17"/>
      <c r="CU116" s="17"/>
      <c r="CV116" s="12"/>
      <c r="CW116" s="17"/>
      <c r="CX116" s="17"/>
      <c r="CY116" s="17"/>
      <c r="CZ116" s="17"/>
      <c r="DA116" s="17"/>
      <c r="DB116" s="17"/>
      <c r="DC116" s="17"/>
      <c r="DD116" s="17"/>
      <c r="DE116" s="12"/>
      <c r="DF116" s="17"/>
      <c r="DG116" s="17"/>
      <c r="DH116" s="17"/>
      <c r="DI116" s="36">
        <f>(AT116+SUM(AU116:AX116)*8+SUM(AY116:CC116)-SUM(CD116:DH116))</f>
        <v>8</v>
      </c>
      <c r="DJ116" s="12">
        <f>DI116*16</f>
        <v>128</v>
      </c>
      <c r="DK116" s="12">
        <f>SUM(CD116:CJ116)</f>
        <v>0</v>
      </c>
      <c r="DL116" s="12">
        <f>DK116*2400</f>
        <v>0</v>
      </c>
      <c r="DM116" s="12">
        <f>SUM(CK116:CQ116)</f>
        <v>0</v>
      </c>
      <c r="DN116" s="12">
        <f>DM116*2400</f>
        <v>0</v>
      </c>
      <c r="DO116" s="12">
        <f>SUM(CR116:CX116)</f>
        <v>0</v>
      </c>
      <c r="DP116" s="12">
        <f>DO116*2400</f>
        <v>0</v>
      </c>
      <c r="DQ116" s="12">
        <f>SUM(CY116:DH116)</f>
        <v>0</v>
      </c>
      <c r="DR116" s="12">
        <f>DQ116*2400</f>
        <v>0</v>
      </c>
      <c r="DS116" s="12">
        <f>DK116+DM116+DO116+DQ116</f>
        <v>0</v>
      </c>
      <c r="DT116" s="12">
        <f>DS116*2400</f>
        <v>0</v>
      </c>
      <c r="DU116" s="22"/>
      <c r="DV116" s="22"/>
      <c r="DW116" s="22"/>
      <c r="DX116" s="22"/>
      <c r="DY116" s="22"/>
    </row>
    <row r="117" spans="1:129" ht="14.25" customHeight="1">
      <c r="A117" s="12">
        <v>113</v>
      </c>
      <c r="B117" s="19" t="s">
        <v>151</v>
      </c>
      <c r="C117" s="14"/>
      <c r="D117" s="95"/>
      <c r="E117" s="56">
        <v>0</v>
      </c>
      <c r="F117" s="103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2">
        <f t="shared" si="380"/>
        <v>0</v>
      </c>
      <c r="AP117" s="17"/>
      <c r="AQ117" s="12">
        <f t="shared" si="381"/>
        <v>0</v>
      </c>
      <c r="AR117" s="17"/>
      <c r="AS117" s="126">
        <f t="shared" si="311"/>
        <v>0</v>
      </c>
      <c r="AT117" s="56">
        <v>0</v>
      </c>
      <c r="AU117" s="50"/>
      <c r="AV117" s="12"/>
      <c r="AW117" s="12"/>
      <c r="AX117" s="12"/>
      <c r="AY117" s="12">
        <f t="shared" si="383"/>
        <v>0</v>
      </c>
      <c r="AZ117" s="12">
        <f t="shared" si="384"/>
        <v>0</v>
      </c>
      <c r="BA117" s="12">
        <f t="shared" si="385"/>
        <v>0</v>
      </c>
      <c r="BB117" s="12">
        <f t="shared" si="386"/>
        <v>0</v>
      </c>
      <c r="BC117" s="12">
        <f t="shared" si="387"/>
        <v>0</v>
      </c>
      <c r="BD117" s="12">
        <f t="shared" si="388"/>
        <v>0</v>
      </c>
      <c r="BE117" s="12">
        <f t="shared" si="389"/>
        <v>0</v>
      </c>
      <c r="BF117" s="12">
        <f t="shared" si="390"/>
        <v>0</v>
      </c>
      <c r="BG117" s="12">
        <f t="shared" si="391"/>
        <v>0</v>
      </c>
      <c r="BH117" s="12">
        <f t="shared" si="392"/>
        <v>0</v>
      </c>
      <c r="BI117" s="12">
        <f t="shared" si="393"/>
        <v>0</v>
      </c>
      <c r="BJ117" s="12">
        <f t="shared" si="394"/>
        <v>0</v>
      </c>
      <c r="BK117" s="12">
        <f t="shared" si="395"/>
        <v>0</v>
      </c>
      <c r="BL117" s="12">
        <f t="shared" si="396"/>
        <v>0</v>
      </c>
      <c r="BM117" s="12">
        <f t="shared" si="397"/>
        <v>0</v>
      </c>
      <c r="BN117" s="12">
        <f t="shared" si="398"/>
        <v>0</v>
      </c>
      <c r="BO117" s="12">
        <f t="shared" si="399"/>
        <v>0</v>
      </c>
      <c r="BP117" s="12">
        <f t="shared" si="400"/>
        <v>0</v>
      </c>
      <c r="BQ117" s="12">
        <f t="shared" si="401"/>
        <v>0</v>
      </c>
      <c r="BR117" s="12">
        <f t="shared" si="402"/>
        <v>0</v>
      </c>
      <c r="BS117" s="12">
        <f t="shared" si="403"/>
        <v>0</v>
      </c>
      <c r="BT117" s="12">
        <f t="shared" si="404"/>
        <v>0</v>
      </c>
      <c r="BU117" s="12">
        <f t="shared" si="405"/>
        <v>0</v>
      </c>
      <c r="BV117" s="12">
        <f t="shared" si="406"/>
        <v>0</v>
      </c>
      <c r="BW117" s="12">
        <f t="shared" si="407"/>
        <v>0</v>
      </c>
      <c r="BX117" s="12">
        <f t="shared" si="408"/>
        <v>0</v>
      </c>
      <c r="BY117" s="12">
        <f t="shared" si="409"/>
        <v>0</v>
      </c>
      <c r="BZ117" s="12">
        <f t="shared" si="410"/>
        <v>0</v>
      </c>
      <c r="CA117" s="12">
        <f t="shared" si="411"/>
        <v>0</v>
      </c>
      <c r="CB117" s="12">
        <f t="shared" si="412"/>
        <v>0</v>
      </c>
      <c r="CC117" s="12">
        <f t="shared" si="413"/>
        <v>0</v>
      </c>
      <c r="CD117" s="12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2"/>
      <c r="CQ117" s="17"/>
      <c r="CR117" s="17"/>
      <c r="CS117" s="17"/>
      <c r="CT117" s="17"/>
      <c r="CU117" s="17"/>
      <c r="CV117" s="12"/>
      <c r="CW117" s="17"/>
      <c r="CX117" s="17"/>
      <c r="CY117" s="17"/>
      <c r="CZ117" s="17"/>
      <c r="DA117" s="17"/>
      <c r="DB117" s="17"/>
      <c r="DC117" s="17"/>
      <c r="DD117" s="17"/>
      <c r="DE117" s="12"/>
      <c r="DF117" s="17"/>
      <c r="DG117" s="17"/>
      <c r="DH117" s="17"/>
      <c r="DI117" s="36">
        <f>(AT117+SUM(AU117:AX117)*5+SUM(AY117:CC117)-SUM(CD117:DH117))</f>
        <v>0</v>
      </c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</row>
    <row r="118" spans="1:129" ht="14.25" customHeight="1">
      <c r="A118" s="30">
        <v>114</v>
      </c>
      <c r="B118" s="19" t="s">
        <v>152</v>
      </c>
      <c r="C118" s="15" t="s">
        <v>32</v>
      </c>
      <c r="D118" s="95"/>
      <c r="E118" s="56">
        <v>0</v>
      </c>
      <c r="F118" s="103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2">
        <f t="shared" si="380"/>
        <v>0</v>
      </c>
      <c r="AP118" s="17">
        <f t="shared" ref="AP118:AP119" si="414">AO118</f>
        <v>0</v>
      </c>
      <c r="AQ118" s="12">
        <f t="shared" si="381"/>
        <v>36</v>
      </c>
      <c r="AR118" s="40"/>
      <c r="AS118" s="126">
        <f t="shared" si="311"/>
        <v>36</v>
      </c>
      <c r="AT118" s="56">
        <v>47</v>
      </c>
      <c r="AU118" s="50"/>
      <c r="AV118" s="12"/>
      <c r="AW118" s="12"/>
      <c r="AX118" s="12"/>
      <c r="AY118" s="12">
        <f>J118*36</f>
        <v>0</v>
      </c>
      <c r="AZ118" s="12">
        <f t="shared" ref="AZ118:CC119" si="415">K118*36</f>
        <v>0</v>
      </c>
      <c r="BA118" s="12">
        <f t="shared" si="415"/>
        <v>0</v>
      </c>
      <c r="BB118" s="12">
        <f t="shared" si="415"/>
        <v>0</v>
      </c>
      <c r="BC118" s="12">
        <f t="shared" si="415"/>
        <v>0</v>
      </c>
      <c r="BD118" s="12">
        <f t="shared" si="415"/>
        <v>0</v>
      </c>
      <c r="BE118" s="12">
        <f t="shared" si="415"/>
        <v>0</v>
      </c>
      <c r="BF118" s="12">
        <f t="shared" si="415"/>
        <v>0</v>
      </c>
      <c r="BG118" s="12">
        <f t="shared" si="415"/>
        <v>0</v>
      </c>
      <c r="BH118" s="12">
        <f t="shared" si="415"/>
        <v>0</v>
      </c>
      <c r="BI118" s="12">
        <f t="shared" si="415"/>
        <v>0</v>
      </c>
      <c r="BJ118" s="12">
        <f t="shared" si="415"/>
        <v>0</v>
      </c>
      <c r="BK118" s="12">
        <f t="shared" si="415"/>
        <v>0</v>
      </c>
      <c r="BL118" s="12">
        <f t="shared" si="415"/>
        <v>0</v>
      </c>
      <c r="BM118" s="12">
        <f t="shared" si="415"/>
        <v>0</v>
      </c>
      <c r="BN118" s="12">
        <f t="shared" si="415"/>
        <v>0</v>
      </c>
      <c r="BO118" s="12">
        <f t="shared" si="415"/>
        <v>0</v>
      </c>
      <c r="BP118" s="12">
        <f t="shared" si="415"/>
        <v>0</v>
      </c>
      <c r="BQ118" s="12">
        <f t="shared" si="415"/>
        <v>0</v>
      </c>
      <c r="BR118" s="12">
        <f t="shared" si="415"/>
        <v>0</v>
      </c>
      <c r="BS118" s="12">
        <f t="shared" si="415"/>
        <v>0</v>
      </c>
      <c r="BT118" s="12">
        <f t="shared" si="415"/>
        <v>0</v>
      </c>
      <c r="BU118" s="12">
        <f t="shared" si="415"/>
        <v>0</v>
      </c>
      <c r="BV118" s="12">
        <f t="shared" si="415"/>
        <v>0</v>
      </c>
      <c r="BW118" s="12">
        <f t="shared" si="415"/>
        <v>0</v>
      </c>
      <c r="BX118" s="12">
        <f t="shared" si="415"/>
        <v>0</v>
      </c>
      <c r="BY118" s="12">
        <f t="shared" si="415"/>
        <v>0</v>
      </c>
      <c r="BZ118" s="12">
        <f t="shared" si="415"/>
        <v>0</v>
      </c>
      <c r="CA118" s="12">
        <f t="shared" si="415"/>
        <v>0</v>
      </c>
      <c r="CB118" s="12">
        <f t="shared" si="415"/>
        <v>0</v>
      </c>
      <c r="CC118" s="12">
        <f t="shared" si="415"/>
        <v>0</v>
      </c>
      <c r="CD118" s="12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>
        <v>11</v>
      </c>
      <c r="CP118" s="12"/>
      <c r="CQ118" s="17"/>
      <c r="CR118" s="17"/>
      <c r="CS118" s="17"/>
      <c r="CT118" s="17"/>
      <c r="CU118" s="17"/>
      <c r="CV118" s="12"/>
      <c r="CW118" s="17"/>
      <c r="CX118" s="17"/>
      <c r="CY118" s="17"/>
      <c r="CZ118" s="17"/>
      <c r="DA118" s="17"/>
      <c r="DB118" s="17"/>
      <c r="DC118" s="17"/>
      <c r="DD118" s="17"/>
      <c r="DE118" s="12"/>
      <c r="DF118" s="17"/>
      <c r="DG118" s="17"/>
      <c r="DH118" s="17"/>
      <c r="DI118" s="36">
        <f>(AT118+SUM(AU118:AX118)*36+SUM(AY118:CC118)-SUM(CD118:DH118))</f>
        <v>36</v>
      </c>
      <c r="DJ118" s="12">
        <f t="shared" ref="DJ118:DJ119" si="416">DI118</f>
        <v>36</v>
      </c>
      <c r="DK118" s="12">
        <f t="shared" ref="DK118:DK131" si="417">SUM(CD118:CJ118)</f>
        <v>0</v>
      </c>
      <c r="DL118" s="12">
        <f t="shared" ref="DL118:DL119" si="418">DK118</f>
        <v>0</v>
      </c>
      <c r="DM118" s="12">
        <f t="shared" ref="DM118:DM131" si="419">SUM(CK118:CQ118)</f>
        <v>11</v>
      </c>
      <c r="DN118" s="12">
        <f t="shared" ref="DN118:DN119" si="420">DM118</f>
        <v>11</v>
      </c>
      <c r="DO118" s="12">
        <f t="shared" ref="DO118:DO131" si="421">SUM(CR118:CX118)</f>
        <v>0</v>
      </c>
      <c r="DP118" s="12">
        <f t="shared" ref="DP118:DP119" si="422">DO118</f>
        <v>0</v>
      </c>
      <c r="DQ118" s="12">
        <f t="shared" ref="DQ118:DQ131" si="423">SUM(CY118:DH118)</f>
        <v>0</v>
      </c>
      <c r="DR118" s="12">
        <f t="shared" ref="DR118:DR119" si="424">DQ118</f>
        <v>0</v>
      </c>
      <c r="DS118" s="12">
        <f t="shared" ref="DS118:DS131" si="425">DK118+DM118+DO118+DQ118</f>
        <v>11</v>
      </c>
      <c r="DT118" s="12">
        <f t="shared" ref="DT118:DT119" si="426">DS118</f>
        <v>11</v>
      </c>
    </row>
    <row r="119" spans="1:129" ht="14.25" customHeight="1">
      <c r="A119" s="30">
        <v>115</v>
      </c>
      <c r="B119" s="19" t="s">
        <v>153</v>
      </c>
      <c r="C119" s="15" t="s">
        <v>32</v>
      </c>
      <c r="D119" s="95"/>
      <c r="E119" s="56">
        <v>0</v>
      </c>
      <c r="F119" s="103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2">
        <f t="shared" si="380"/>
        <v>0</v>
      </c>
      <c r="AP119" s="17">
        <f t="shared" si="414"/>
        <v>0</v>
      </c>
      <c r="AQ119" s="12">
        <f t="shared" si="381"/>
        <v>30</v>
      </c>
      <c r="AR119" s="40"/>
      <c r="AS119" s="126">
        <f t="shared" si="311"/>
        <v>30</v>
      </c>
      <c r="AT119" s="56">
        <v>36</v>
      </c>
      <c r="AU119" s="50"/>
      <c r="AV119" s="12"/>
      <c r="AW119" s="12"/>
      <c r="AX119" s="12"/>
      <c r="AY119" s="12">
        <f>J119*36</f>
        <v>0</v>
      </c>
      <c r="AZ119" s="12">
        <f t="shared" si="415"/>
        <v>0</v>
      </c>
      <c r="BA119" s="12">
        <f t="shared" si="415"/>
        <v>0</v>
      </c>
      <c r="BB119" s="12">
        <f t="shared" si="415"/>
        <v>0</v>
      </c>
      <c r="BC119" s="12">
        <f t="shared" si="415"/>
        <v>0</v>
      </c>
      <c r="BD119" s="12">
        <f t="shared" si="415"/>
        <v>0</v>
      </c>
      <c r="BE119" s="12">
        <f t="shared" si="415"/>
        <v>0</v>
      </c>
      <c r="BF119" s="12">
        <f t="shared" si="415"/>
        <v>0</v>
      </c>
      <c r="BG119" s="12">
        <f t="shared" si="415"/>
        <v>0</v>
      </c>
      <c r="BH119" s="12">
        <f t="shared" si="415"/>
        <v>0</v>
      </c>
      <c r="BI119" s="12">
        <f t="shared" si="415"/>
        <v>0</v>
      </c>
      <c r="BJ119" s="12">
        <f t="shared" si="415"/>
        <v>0</v>
      </c>
      <c r="BK119" s="12">
        <f t="shared" si="415"/>
        <v>0</v>
      </c>
      <c r="BL119" s="12">
        <f t="shared" si="415"/>
        <v>0</v>
      </c>
      <c r="BM119" s="12">
        <f t="shared" si="415"/>
        <v>0</v>
      </c>
      <c r="BN119" s="12">
        <f t="shared" si="415"/>
        <v>0</v>
      </c>
      <c r="BO119" s="12">
        <f t="shared" si="415"/>
        <v>0</v>
      </c>
      <c r="BP119" s="12">
        <f t="shared" si="415"/>
        <v>0</v>
      </c>
      <c r="BQ119" s="12">
        <f t="shared" si="415"/>
        <v>0</v>
      </c>
      <c r="BR119" s="12">
        <f t="shared" si="415"/>
        <v>0</v>
      </c>
      <c r="BS119" s="12">
        <f t="shared" si="415"/>
        <v>0</v>
      </c>
      <c r="BT119" s="12">
        <f t="shared" si="415"/>
        <v>0</v>
      </c>
      <c r="BU119" s="12">
        <f t="shared" si="415"/>
        <v>0</v>
      </c>
      <c r="BV119" s="12">
        <f t="shared" si="415"/>
        <v>0</v>
      </c>
      <c r="BW119" s="12">
        <f t="shared" si="415"/>
        <v>0</v>
      </c>
      <c r="BX119" s="12">
        <f t="shared" si="415"/>
        <v>0</v>
      </c>
      <c r="BY119" s="12">
        <f t="shared" si="415"/>
        <v>0</v>
      </c>
      <c r="BZ119" s="12">
        <f t="shared" si="415"/>
        <v>0</v>
      </c>
      <c r="CA119" s="12">
        <f t="shared" si="415"/>
        <v>0</v>
      </c>
      <c r="CB119" s="12">
        <f t="shared" si="415"/>
        <v>0</v>
      </c>
      <c r="CC119" s="12">
        <f t="shared" si="415"/>
        <v>0</v>
      </c>
      <c r="CD119" s="12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2"/>
      <c r="CQ119" s="17"/>
      <c r="CR119" s="17"/>
      <c r="CS119" s="17"/>
      <c r="CT119" s="17">
        <v>6</v>
      </c>
      <c r="CU119" s="17"/>
      <c r="CV119" s="12"/>
      <c r="CW119" s="17"/>
      <c r="CX119" s="17"/>
      <c r="CY119" s="17"/>
      <c r="CZ119" s="17"/>
      <c r="DA119" s="17"/>
      <c r="DB119" s="17"/>
      <c r="DC119" s="17"/>
      <c r="DD119" s="17"/>
      <c r="DE119" s="12"/>
      <c r="DF119" s="17"/>
      <c r="DG119" s="17"/>
      <c r="DH119" s="17"/>
      <c r="DI119" s="36">
        <f>(AT119+SUM(AU119:AX119)*36+SUM(AY119:CC119)-SUM(CD119:DH119))</f>
        <v>30</v>
      </c>
      <c r="DJ119" s="12">
        <f t="shared" si="416"/>
        <v>30</v>
      </c>
      <c r="DK119" s="12">
        <f t="shared" si="417"/>
        <v>0</v>
      </c>
      <c r="DL119" s="12">
        <f t="shared" si="418"/>
        <v>0</v>
      </c>
      <c r="DM119" s="12">
        <f t="shared" si="419"/>
        <v>0</v>
      </c>
      <c r="DN119" s="12">
        <f t="shared" si="420"/>
        <v>0</v>
      </c>
      <c r="DO119" s="12">
        <f t="shared" si="421"/>
        <v>6</v>
      </c>
      <c r="DP119" s="12">
        <f t="shared" si="422"/>
        <v>6</v>
      </c>
      <c r="DQ119" s="12">
        <f t="shared" si="423"/>
        <v>0</v>
      </c>
      <c r="DR119" s="12">
        <f t="shared" si="424"/>
        <v>0</v>
      </c>
      <c r="DS119" s="12">
        <f t="shared" si="425"/>
        <v>6</v>
      </c>
      <c r="DT119" s="12">
        <f t="shared" si="426"/>
        <v>6</v>
      </c>
    </row>
    <row r="120" spans="1:129" ht="14.25" customHeight="1">
      <c r="A120" s="30">
        <v>116</v>
      </c>
      <c r="B120" s="19" t="s">
        <v>154</v>
      </c>
      <c r="C120" s="15" t="s">
        <v>32</v>
      </c>
      <c r="D120" s="97" t="s">
        <v>55</v>
      </c>
      <c r="E120" s="56">
        <v>0</v>
      </c>
      <c r="F120" s="103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2">
        <f>(E120+F120+G120+H120+I120-J120-K120-L120-M120-N120-O120-P120-Q120-R120-S120-T120-U120-V120-W120-X120-Y120-Z120-AA120-AB120-AC120-AD120-AE120-AF120-AG120-AH120-AI120-AJ120-AK120-AL120-AM120-AN120)</f>
        <v>0</v>
      </c>
      <c r="AP120" s="17">
        <f>AO120*48</f>
        <v>0</v>
      </c>
      <c r="AQ120" s="12">
        <f t="shared" si="381"/>
        <v>0</v>
      </c>
      <c r="AR120" s="40"/>
      <c r="AS120" s="126">
        <f t="shared" si="311"/>
        <v>0</v>
      </c>
      <c r="AT120" s="56">
        <v>0</v>
      </c>
      <c r="AU120" s="50"/>
      <c r="AV120" s="12"/>
      <c r="AW120" s="12"/>
      <c r="AX120" s="12"/>
      <c r="AY120" s="12">
        <f>J120*8</f>
        <v>0</v>
      </c>
      <c r="AZ120" s="12">
        <f t="shared" ref="AZ120:BS120" si="427">K120*8</f>
        <v>0</v>
      </c>
      <c r="BA120" s="12">
        <f t="shared" si="427"/>
        <v>0</v>
      </c>
      <c r="BB120" s="12">
        <f t="shared" si="427"/>
        <v>0</v>
      </c>
      <c r="BC120" s="12">
        <f t="shared" si="427"/>
        <v>0</v>
      </c>
      <c r="BD120" s="12">
        <f t="shared" si="427"/>
        <v>0</v>
      </c>
      <c r="BE120" s="12">
        <f t="shared" si="427"/>
        <v>0</v>
      </c>
      <c r="BF120" s="12">
        <f t="shared" si="427"/>
        <v>0</v>
      </c>
      <c r="BG120" s="12">
        <f t="shared" si="427"/>
        <v>0</v>
      </c>
      <c r="BH120" s="12">
        <f t="shared" si="427"/>
        <v>0</v>
      </c>
      <c r="BI120" s="12">
        <f t="shared" si="427"/>
        <v>0</v>
      </c>
      <c r="BJ120" s="12">
        <f t="shared" si="427"/>
        <v>0</v>
      </c>
      <c r="BK120" s="12">
        <f t="shared" si="427"/>
        <v>0</v>
      </c>
      <c r="BL120" s="12">
        <f t="shared" si="427"/>
        <v>0</v>
      </c>
      <c r="BM120" s="12">
        <f t="shared" si="427"/>
        <v>0</v>
      </c>
      <c r="BN120" s="12">
        <f t="shared" si="427"/>
        <v>0</v>
      </c>
      <c r="BO120" s="12">
        <f t="shared" si="427"/>
        <v>0</v>
      </c>
      <c r="BP120" s="12">
        <f t="shared" si="427"/>
        <v>0</v>
      </c>
      <c r="BQ120" s="12">
        <f t="shared" si="427"/>
        <v>0</v>
      </c>
      <c r="BR120" s="12">
        <f t="shared" si="427"/>
        <v>0</v>
      </c>
      <c r="BS120" s="12">
        <f t="shared" si="427"/>
        <v>0</v>
      </c>
      <c r="BT120" s="12">
        <f t="shared" ref="BT120" si="428">AE120*8</f>
        <v>0</v>
      </c>
      <c r="BU120" s="12">
        <f t="shared" ref="BU120" si="429">AF120*8</f>
        <v>0</v>
      </c>
      <c r="BV120" s="12">
        <f t="shared" ref="BV120" si="430">AG120*8</f>
        <v>0</v>
      </c>
      <c r="BW120" s="12">
        <f t="shared" ref="BW120" si="431">AH120*8</f>
        <v>0</v>
      </c>
      <c r="BX120" s="12">
        <f t="shared" ref="BX120" si="432">AI120*8</f>
        <v>0</v>
      </c>
      <c r="BY120" s="12">
        <f t="shared" ref="BY120" si="433">AJ120*8</f>
        <v>0</v>
      </c>
      <c r="BZ120" s="12">
        <f t="shared" ref="BZ120" si="434">AK120*8</f>
        <v>0</v>
      </c>
      <c r="CA120" s="12">
        <f t="shared" ref="CA120" si="435">AL120*8</f>
        <v>0</v>
      </c>
      <c r="CB120" s="12">
        <f t="shared" ref="CB120" si="436">AM120*8</f>
        <v>0</v>
      </c>
      <c r="CC120" s="12">
        <f t="shared" ref="CC120" si="437">AN120*8</f>
        <v>0</v>
      </c>
      <c r="CD120" s="12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2"/>
      <c r="CQ120" s="17"/>
      <c r="CR120" s="17"/>
      <c r="CS120" s="17"/>
      <c r="CT120" s="17"/>
      <c r="CU120" s="17"/>
      <c r="CV120" s="12"/>
      <c r="CW120" s="17"/>
      <c r="CX120" s="17"/>
      <c r="CY120" s="17"/>
      <c r="CZ120" s="17"/>
      <c r="DA120" s="17"/>
      <c r="DB120" s="17"/>
      <c r="DC120" s="17"/>
      <c r="DD120" s="17"/>
      <c r="DE120" s="12"/>
      <c r="DF120" s="17"/>
      <c r="DG120" s="17"/>
      <c r="DH120" s="17"/>
      <c r="DI120" s="36">
        <f>(AT120+SUM(AU120:AX120)*48+SUM(AY120:CC120)-SUM(CD120:DH120))</f>
        <v>0</v>
      </c>
      <c r="DJ120" s="12">
        <f>DI120*6</f>
        <v>0</v>
      </c>
      <c r="DK120" s="12">
        <f t="shared" si="417"/>
        <v>0</v>
      </c>
      <c r="DL120" s="12">
        <f>DK120*6</f>
        <v>0</v>
      </c>
      <c r="DM120" s="12">
        <f t="shared" si="419"/>
        <v>0</v>
      </c>
      <c r="DN120" s="12">
        <f>DM120*6</f>
        <v>0</v>
      </c>
      <c r="DO120" s="12">
        <f t="shared" si="421"/>
        <v>0</v>
      </c>
      <c r="DP120" s="12">
        <f>DO120*6</f>
        <v>0</v>
      </c>
      <c r="DQ120" s="12">
        <f t="shared" si="423"/>
        <v>0</v>
      </c>
      <c r="DR120" s="12">
        <f>DQ120*6</f>
        <v>0</v>
      </c>
      <c r="DS120" s="12">
        <f t="shared" si="425"/>
        <v>0</v>
      </c>
      <c r="DT120" s="12">
        <f>DS120*6</f>
        <v>0</v>
      </c>
    </row>
    <row r="121" spans="1:129" ht="14.25" customHeight="1">
      <c r="A121" s="30">
        <v>117</v>
      </c>
      <c r="B121" s="19" t="s">
        <v>155</v>
      </c>
      <c r="C121" s="15" t="s">
        <v>32</v>
      </c>
      <c r="D121" s="95"/>
      <c r="E121" s="56">
        <v>0</v>
      </c>
      <c r="F121" s="103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2">
        <f t="shared" si="380"/>
        <v>0</v>
      </c>
      <c r="AP121" s="17">
        <f>AO121*250</f>
        <v>0</v>
      </c>
      <c r="AQ121" s="12">
        <f t="shared" si="381"/>
        <v>6500</v>
      </c>
      <c r="AR121" s="17"/>
      <c r="AS121" s="126">
        <f t="shared" si="311"/>
        <v>26</v>
      </c>
      <c r="AT121" s="56">
        <v>38</v>
      </c>
      <c r="AU121" s="50"/>
      <c r="AV121" s="12"/>
      <c r="AW121" s="12"/>
      <c r="AX121" s="12"/>
      <c r="AY121" s="12">
        <f>J121*24</f>
        <v>0</v>
      </c>
      <c r="AZ121" s="12">
        <f t="shared" ref="AZ121:CC121" si="438">K121*24</f>
        <v>0</v>
      </c>
      <c r="BA121" s="12">
        <f t="shared" si="438"/>
        <v>0</v>
      </c>
      <c r="BB121" s="12">
        <f t="shared" si="438"/>
        <v>0</v>
      </c>
      <c r="BC121" s="12">
        <f t="shared" si="438"/>
        <v>0</v>
      </c>
      <c r="BD121" s="12">
        <f t="shared" si="438"/>
        <v>0</v>
      </c>
      <c r="BE121" s="12">
        <f t="shared" si="438"/>
        <v>0</v>
      </c>
      <c r="BF121" s="12">
        <f t="shared" si="438"/>
        <v>0</v>
      </c>
      <c r="BG121" s="12">
        <f t="shared" si="438"/>
        <v>0</v>
      </c>
      <c r="BH121" s="12">
        <f t="shared" si="438"/>
        <v>0</v>
      </c>
      <c r="BI121" s="12">
        <f t="shared" si="438"/>
        <v>0</v>
      </c>
      <c r="BJ121" s="12">
        <f t="shared" si="438"/>
        <v>0</v>
      </c>
      <c r="BK121" s="12">
        <f t="shared" si="438"/>
        <v>0</v>
      </c>
      <c r="BL121" s="12">
        <f t="shared" si="438"/>
        <v>0</v>
      </c>
      <c r="BM121" s="12">
        <f t="shared" si="438"/>
        <v>0</v>
      </c>
      <c r="BN121" s="12">
        <f t="shared" si="438"/>
        <v>0</v>
      </c>
      <c r="BO121" s="12">
        <f t="shared" si="438"/>
        <v>0</v>
      </c>
      <c r="BP121" s="12">
        <f t="shared" si="438"/>
        <v>0</v>
      </c>
      <c r="BQ121" s="12">
        <f t="shared" si="438"/>
        <v>0</v>
      </c>
      <c r="BR121" s="12">
        <f t="shared" si="438"/>
        <v>0</v>
      </c>
      <c r="BS121" s="12">
        <f t="shared" si="438"/>
        <v>0</v>
      </c>
      <c r="BT121" s="12">
        <f t="shared" si="438"/>
        <v>0</v>
      </c>
      <c r="BU121" s="12">
        <f t="shared" si="438"/>
        <v>0</v>
      </c>
      <c r="BV121" s="12">
        <f t="shared" si="438"/>
        <v>0</v>
      </c>
      <c r="BW121" s="12">
        <f t="shared" si="438"/>
        <v>0</v>
      </c>
      <c r="BX121" s="12">
        <f t="shared" si="438"/>
        <v>0</v>
      </c>
      <c r="BY121" s="12">
        <f t="shared" si="438"/>
        <v>0</v>
      </c>
      <c r="BZ121" s="12">
        <f t="shared" si="438"/>
        <v>0</v>
      </c>
      <c r="CA121" s="12">
        <f t="shared" si="438"/>
        <v>0</v>
      </c>
      <c r="CB121" s="12">
        <f t="shared" si="438"/>
        <v>0</v>
      </c>
      <c r="CC121" s="12">
        <f t="shared" si="438"/>
        <v>0</v>
      </c>
      <c r="CD121" s="12"/>
      <c r="CE121" s="17"/>
      <c r="CF121" s="17"/>
      <c r="CG121" s="17">
        <v>3</v>
      </c>
      <c r="CH121" s="17"/>
      <c r="CI121" s="17"/>
      <c r="CJ121" s="17"/>
      <c r="CK121" s="17"/>
      <c r="CL121" s="17"/>
      <c r="CM121" s="17"/>
      <c r="CN121" s="17"/>
      <c r="CO121" s="17">
        <v>2</v>
      </c>
      <c r="CP121" s="12"/>
      <c r="CQ121" s="17"/>
      <c r="CR121" s="17"/>
      <c r="CS121" s="17"/>
      <c r="CT121" s="17">
        <v>7</v>
      </c>
      <c r="CU121" s="17"/>
      <c r="CV121" s="12"/>
      <c r="CW121" s="17"/>
      <c r="CX121" s="17"/>
      <c r="CY121" s="17"/>
      <c r="CZ121" s="17"/>
      <c r="DA121" s="17"/>
      <c r="DB121" s="17"/>
      <c r="DC121" s="17"/>
      <c r="DD121" s="17"/>
      <c r="DE121" s="12"/>
      <c r="DF121" s="17"/>
      <c r="DG121" s="17"/>
      <c r="DH121" s="17"/>
      <c r="DI121" s="36">
        <f>(AT121+SUM(AU121:AX121)*24+SUM(AY121:CC121)-SUM(CD121:DH121))</f>
        <v>26</v>
      </c>
      <c r="DJ121" s="12">
        <f>DI121*250</f>
        <v>6500</v>
      </c>
      <c r="DK121" s="12">
        <f t="shared" si="417"/>
        <v>3</v>
      </c>
      <c r="DL121" s="12">
        <f>DK121*250</f>
        <v>750</v>
      </c>
      <c r="DM121" s="12">
        <f t="shared" si="419"/>
        <v>2</v>
      </c>
      <c r="DN121" s="12">
        <f>DM121*250</f>
        <v>500</v>
      </c>
      <c r="DO121" s="12">
        <f t="shared" si="421"/>
        <v>7</v>
      </c>
      <c r="DP121" s="12">
        <f>DO121*250</f>
        <v>1750</v>
      </c>
      <c r="DQ121" s="12">
        <f t="shared" si="423"/>
        <v>0</v>
      </c>
      <c r="DR121" s="12">
        <f>DQ121*250</f>
        <v>0</v>
      </c>
      <c r="DS121" s="12">
        <f t="shared" si="425"/>
        <v>12</v>
      </c>
      <c r="DT121" s="12">
        <f>DS121</f>
        <v>12</v>
      </c>
    </row>
    <row r="122" spans="1:129" ht="14.25" customHeight="1">
      <c r="A122" s="12">
        <v>118</v>
      </c>
      <c r="B122" s="26" t="s">
        <v>156</v>
      </c>
      <c r="C122" s="14"/>
      <c r="D122" s="100" t="s">
        <v>105</v>
      </c>
      <c r="E122" s="56">
        <v>3</v>
      </c>
      <c r="F122" s="103"/>
      <c r="G122" s="17">
        <v>2</v>
      </c>
      <c r="H122" s="17"/>
      <c r="I122" s="17"/>
      <c r="J122" s="17">
        <v>1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>
        <v>2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2">
        <f>(E122+F122+G122+H122+I122-J122-K122-L122-M122-N122-O122-P122-Q122-R122-S122-T122-U122-V122-W122-X122-Y122-Z122-AA122-AB122-AC122-AD122-AE122-AF122-AG122-AH122-AI122-AJ122-AK122-AL122-AM122-AN122)</f>
        <v>2</v>
      </c>
      <c r="AP122" s="17">
        <f>AO122*4800</f>
        <v>9600</v>
      </c>
      <c r="AQ122" s="12">
        <f t="shared" si="381"/>
        <v>24000</v>
      </c>
      <c r="AR122" s="17"/>
      <c r="AS122" s="126">
        <f t="shared" si="311"/>
        <v>144</v>
      </c>
      <c r="AT122" s="56">
        <v>48</v>
      </c>
      <c r="AU122" s="50"/>
      <c r="AV122" s="12"/>
      <c r="AW122" s="12"/>
      <c r="AX122" s="12"/>
      <c r="AY122" s="12">
        <f>J122*48</f>
        <v>48</v>
      </c>
      <c r="AZ122" s="12">
        <f t="shared" ref="AZ122:CC122" si="439">K122*48</f>
        <v>0</v>
      </c>
      <c r="BA122" s="12">
        <f t="shared" si="439"/>
        <v>0</v>
      </c>
      <c r="BB122" s="12">
        <f t="shared" si="439"/>
        <v>0</v>
      </c>
      <c r="BC122" s="12">
        <f t="shared" si="439"/>
        <v>0</v>
      </c>
      <c r="BD122" s="12">
        <f t="shared" si="439"/>
        <v>0</v>
      </c>
      <c r="BE122" s="12">
        <f t="shared" si="439"/>
        <v>0</v>
      </c>
      <c r="BF122" s="12">
        <f t="shared" si="439"/>
        <v>0</v>
      </c>
      <c r="BG122" s="12">
        <f t="shared" si="439"/>
        <v>0</v>
      </c>
      <c r="BH122" s="12">
        <f t="shared" si="439"/>
        <v>0</v>
      </c>
      <c r="BI122" s="12">
        <f t="shared" si="439"/>
        <v>0</v>
      </c>
      <c r="BJ122" s="12">
        <f t="shared" si="439"/>
        <v>0</v>
      </c>
      <c r="BK122" s="12">
        <f t="shared" si="439"/>
        <v>0</v>
      </c>
      <c r="BL122" s="12">
        <f t="shared" si="439"/>
        <v>0</v>
      </c>
      <c r="BM122" s="12">
        <f t="shared" si="439"/>
        <v>0</v>
      </c>
      <c r="BN122" s="12">
        <f t="shared" si="439"/>
        <v>0</v>
      </c>
      <c r="BO122" s="12">
        <f t="shared" si="439"/>
        <v>96</v>
      </c>
      <c r="BP122" s="12">
        <f t="shared" si="439"/>
        <v>0</v>
      </c>
      <c r="BQ122" s="12">
        <f t="shared" si="439"/>
        <v>0</v>
      </c>
      <c r="BR122" s="12">
        <f t="shared" si="439"/>
        <v>0</v>
      </c>
      <c r="BS122" s="12">
        <f t="shared" si="439"/>
        <v>0</v>
      </c>
      <c r="BT122" s="12">
        <f t="shared" si="439"/>
        <v>0</v>
      </c>
      <c r="BU122" s="12">
        <f t="shared" si="439"/>
        <v>0</v>
      </c>
      <c r="BV122" s="12">
        <f t="shared" si="439"/>
        <v>0</v>
      </c>
      <c r="BW122" s="12">
        <f t="shared" si="439"/>
        <v>0</v>
      </c>
      <c r="BX122" s="12">
        <f t="shared" si="439"/>
        <v>0</v>
      </c>
      <c r="BY122" s="12">
        <f t="shared" si="439"/>
        <v>0</v>
      </c>
      <c r="BZ122" s="12">
        <f t="shared" si="439"/>
        <v>0</v>
      </c>
      <c r="CA122" s="12">
        <f t="shared" si="439"/>
        <v>0</v>
      </c>
      <c r="CB122" s="12">
        <f t="shared" si="439"/>
        <v>0</v>
      </c>
      <c r="CC122" s="12">
        <f t="shared" si="439"/>
        <v>0</v>
      </c>
      <c r="CD122" s="12"/>
      <c r="CE122" s="17"/>
      <c r="CF122" s="17"/>
      <c r="CG122" s="17"/>
      <c r="CH122" s="17"/>
      <c r="CI122" s="17">
        <v>48</v>
      </c>
      <c r="CJ122" s="17"/>
      <c r="CK122" s="17"/>
      <c r="CL122" s="17"/>
      <c r="CM122" s="17"/>
      <c r="CN122" s="17"/>
      <c r="CO122" s="17"/>
      <c r="CP122" s="12"/>
      <c r="CQ122" s="17"/>
      <c r="CR122" s="17"/>
      <c r="CS122" s="17"/>
      <c r="CT122" s="17"/>
      <c r="CU122" s="17"/>
      <c r="CV122" s="12"/>
      <c r="CW122" s="17"/>
      <c r="CX122" s="17"/>
      <c r="CY122" s="17"/>
      <c r="CZ122" s="17"/>
      <c r="DA122" s="17"/>
      <c r="DB122" s="17"/>
      <c r="DC122" s="17"/>
      <c r="DD122" s="17"/>
      <c r="DE122" s="12"/>
      <c r="DF122" s="17"/>
      <c r="DG122" s="17"/>
      <c r="DH122" s="17"/>
      <c r="DI122" s="36">
        <f>(AT122+SUM(AU122:AX122)*48+SUM(AY122:CC122)-SUM(CD122:DH122))</f>
        <v>144</v>
      </c>
      <c r="DJ122" s="12">
        <f t="shared" ref="DJ122:DJ123" si="440">DI122*100</f>
        <v>14400</v>
      </c>
      <c r="DK122" s="12">
        <f t="shared" si="417"/>
        <v>48</v>
      </c>
      <c r="DL122" s="12">
        <f t="shared" ref="DL122:DL123" si="441">DK122*100</f>
        <v>4800</v>
      </c>
      <c r="DM122" s="12">
        <f t="shared" si="419"/>
        <v>0</v>
      </c>
      <c r="DN122" s="12">
        <f t="shared" ref="DN122:DN123" si="442">DM122*100</f>
        <v>0</v>
      </c>
      <c r="DO122" s="12">
        <f t="shared" si="421"/>
        <v>0</v>
      </c>
      <c r="DP122" s="12">
        <f t="shared" ref="DP122:DP123" si="443">DO122*100</f>
        <v>0</v>
      </c>
      <c r="DQ122" s="12">
        <f t="shared" si="423"/>
        <v>0</v>
      </c>
      <c r="DR122" s="12">
        <f t="shared" ref="DR122:DR123" si="444">DQ122*100</f>
        <v>0</v>
      </c>
      <c r="DS122" s="12">
        <f t="shared" si="425"/>
        <v>48</v>
      </c>
      <c r="DT122" s="12">
        <f t="shared" ref="DT122:DT123" si="445">DS122*100</f>
        <v>4800</v>
      </c>
    </row>
    <row r="123" spans="1:129" ht="14.25" customHeight="1">
      <c r="A123" s="12">
        <v>119</v>
      </c>
      <c r="B123" s="26" t="s">
        <v>157</v>
      </c>
      <c r="C123" s="14"/>
      <c r="D123" s="100" t="s">
        <v>105</v>
      </c>
      <c r="E123" s="56">
        <v>3</v>
      </c>
      <c r="F123" s="103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>
        <v>1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2">
        <f>(E123+F123+G123+H123+I123-J123-K123-L123-M123-N123-O123-P123-Q123-R123-S123-T123-U123-V123-W123-X123-Y123-Z123-AA123-AB123-AC123-AD123-AE123-AF123-AG123-AH123-AI123-AJ123-AK123-AL123-AM123-AN123)</f>
        <v>2</v>
      </c>
      <c r="AP123" s="17">
        <f>AO123*1000</f>
        <v>2000</v>
      </c>
      <c r="AQ123" s="12">
        <f t="shared" si="381"/>
        <v>3800</v>
      </c>
      <c r="AR123" s="17"/>
      <c r="AS123" s="126">
        <f t="shared" si="311"/>
        <v>18</v>
      </c>
      <c r="AT123" s="56">
        <v>15</v>
      </c>
      <c r="AU123" s="50"/>
      <c r="AV123" s="12"/>
      <c r="AW123" s="12"/>
      <c r="AX123" s="12"/>
      <c r="AY123" s="12">
        <f>J123*10</f>
        <v>0</v>
      </c>
      <c r="AZ123" s="12">
        <f t="shared" ref="AZ123:CC123" si="446">K123*10</f>
        <v>0</v>
      </c>
      <c r="BA123" s="12">
        <f t="shared" si="446"/>
        <v>0</v>
      </c>
      <c r="BB123" s="12">
        <f t="shared" si="446"/>
        <v>0</v>
      </c>
      <c r="BC123" s="12">
        <f t="shared" si="446"/>
        <v>0</v>
      </c>
      <c r="BD123" s="12">
        <f t="shared" si="446"/>
        <v>0</v>
      </c>
      <c r="BE123" s="12">
        <f t="shared" si="446"/>
        <v>0</v>
      </c>
      <c r="BF123" s="12">
        <f t="shared" si="446"/>
        <v>0</v>
      </c>
      <c r="BG123" s="12">
        <f t="shared" si="446"/>
        <v>0</v>
      </c>
      <c r="BH123" s="12">
        <f t="shared" si="446"/>
        <v>0</v>
      </c>
      <c r="BI123" s="12">
        <f t="shared" si="446"/>
        <v>0</v>
      </c>
      <c r="BJ123" s="12">
        <f t="shared" si="446"/>
        <v>0</v>
      </c>
      <c r="BK123" s="12">
        <f t="shared" si="446"/>
        <v>0</v>
      </c>
      <c r="BL123" s="12">
        <f t="shared" si="446"/>
        <v>0</v>
      </c>
      <c r="BM123" s="12">
        <f t="shared" si="446"/>
        <v>0</v>
      </c>
      <c r="BN123" s="12">
        <f t="shared" si="446"/>
        <v>0</v>
      </c>
      <c r="BO123" s="12">
        <f t="shared" si="446"/>
        <v>10</v>
      </c>
      <c r="BP123" s="12">
        <f t="shared" si="446"/>
        <v>0</v>
      </c>
      <c r="BQ123" s="12">
        <f t="shared" si="446"/>
        <v>0</v>
      </c>
      <c r="BR123" s="12">
        <f t="shared" si="446"/>
        <v>0</v>
      </c>
      <c r="BS123" s="12">
        <f t="shared" si="446"/>
        <v>0</v>
      </c>
      <c r="BT123" s="12">
        <f t="shared" si="446"/>
        <v>0</v>
      </c>
      <c r="BU123" s="12">
        <f t="shared" si="446"/>
        <v>0</v>
      </c>
      <c r="BV123" s="12">
        <f t="shared" si="446"/>
        <v>0</v>
      </c>
      <c r="BW123" s="12">
        <f t="shared" si="446"/>
        <v>0</v>
      </c>
      <c r="BX123" s="12">
        <f t="shared" si="446"/>
        <v>0</v>
      </c>
      <c r="BY123" s="12">
        <f t="shared" si="446"/>
        <v>0</v>
      </c>
      <c r="BZ123" s="12">
        <f t="shared" si="446"/>
        <v>0</v>
      </c>
      <c r="CA123" s="12">
        <f t="shared" si="446"/>
        <v>0</v>
      </c>
      <c r="CB123" s="12">
        <f t="shared" si="446"/>
        <v>0</v>
      </c>
      <c r="CC123" s="12">
        <f t="shared" si="446"/>
        <v>0</v>
      </c>
      <c r="CD123" s="12"/>
      <c r="CE123" s="17"/>
      <c r="CF123" s="17"/>
      <c r="CG123" s="17">
        <v>1</v>
      </c>
      <c r="CH123" s="17"/>
      <c r="CI123" s="17">
        <v>2</v>
      </c>
      <c r="CJ123" s="17"/>
      <c r="CK123" s="17"/>
      <c r="CL123" s="17"/>
      <c r="CM123" s="17"/>
      <c r="CN123" s="17"/>
      <c r="CO123" s="17"/>
      <c r="CP123" s="12"/>
      <c r="CQ123" s="17">
        <v>4</v>
      </c>
      <c r="CR123" s="17"/>
      <c r="CS123" s="17"/>
      <c r="CT123" s="17"/>
      <c r="CU123" s="17"/>
      <c r="CV123" s="12"/>
      <c r="CW123" s="17"/>
      <c r="CX123" s="17"/>
      <c r="CY123" s="17"/>
      <c r="CZ123" s="17"/>
      <c r="DA123" s="17"/>
      <c r="DB123" s="17"/>
      <c r="DC123" s="17"/>
      <c r="DD123" s="17"/>
      <c r="DE123" s="12"/>
      <c r="DF123" s="17"/>
      <c r="DG123" s="17"/>
      <c r="DH123" s="17"/>
      <c r="DI123" s="36">
        <f>(AT123+SUM(AU123:AX123)*10+SUM(AY123:CC123)-SUM(CD123:DH123))</f>
        <v>18</v>
      </c>
      <c r="DJ123" s="12">
        <f t="shared" si="440"/>
        <v>1800</v>
      </c>
      <c r="DK123" s="12">
        <f t="shared" si="417"/>
        <v>3</v>
      </c>
      <c r="DL123" s="12">
        <f t="shared" si="441"/>
        <v>300</v>
      </c>
      <c r="DM123" s="12">
        <f t="shared" si="419"/>
        <v>4</v>
      </c>
      <c r="DN123" s="12">
        <f t="shared" si="442"/>
        <v>400</v>
      </c>
      <c r="DO123" s="12">
        <f t="shared" si="421"/>
        <v>0</v>
      </c>
      <c r="DP123" s="12">
        <f t="shared" si="443"/>
        <v>0</v>
      </c>
      <c r="DQ123" s="12">
        <f t="shared" si="423"/>
        <v>0</v>
      </c>
      <c r="DR123" s="12">
        <f t="shared" si="444"/>
        <v>0</v>
      </c>
      <c r="DS123" s="12">
        <f t="shared" si="425"/>
        <v>7</v>
      </c>
      <c r="DT123" s="12">
        <f t="shared" si="445"/>
        <v>700</v>
      </c>
    </row>
    <row r="124" spans="1:129" ht="14.25" customHeight="1">
      <c r="A124" s="12">
        <v>120</v>
      </c>
      <c r="B124" s="26" t="s">
        <v>158</v>
      </c>
      <c r="C124" s="14"/>
      <c r="D124" s="100" t="s">
        <v>105</v>
      </c>
      <c r="E124" s="56">
        <v>16</v>
      </c>
      <c r="F124" s="103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>
        <v>2</v>
      </c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2">
        <f t="shared" si="380"/>
        <v>14</v>
      </c>
      <c r="AP124" s="17">
        <f t="shared" ref="AP124:AP125" si="447">AO124*200</f>
        <v>2800</v>
      </c>
      <c r="AQ124" s="12">
        <f t="shared" si="381"/>
        <v>3800</v>
      </c>
      <c r="AR124" s="17"/>
      <c r="AS124" s="126">
        <f t="shared" si="311"/>
        <v>5</v>
      </c>
      <c r="AT124" s="56">
        <v>4</v>
      </c>
      <c r="AU124" s="50"/>
      <c r="AV124" s="12"/>
      <c r="AW124" s="12"/>
      <c r="AX124" s="12"/>
      <c r="AY124" s="12">
        <f t="shared" si="383"/>
        <v>0</v>
      </c>
      <c r="AZ124" s="12">
        <f t="shared" si="384"/>
        <v>0</v>
      </c>
      <c r="BA124" s="12">
        <f t="shared" si="385"/>
        <v>0</v>
      </c>
      <c r="BB124" s="12">
        <f t="shared" si="386"/>
        <v>0</v>
      </c>
      <c r="BC124" s="12">
        <f t="shared" si="387"/>
        <v>0</v>
      </c>
      <c r="BD124" s="12">
        <f t="shared" si="388"/>
        <v>0</v>
      </c>
      <c r="BE124" s="12">
        <f t="shared" si="389"/>
        <v>0</v>
      </c>
      <c r="BF124" s="12">
        <f t="shared" si="390"/>
        <v>0</v>
      </c>
      <c r="BG124" s="12">
        <f t="shared" si="391"/>
        <v>0</v>
      </c>
      <c r="BH124" s="12">
        <f t="shared" si="392"/>
        <v>0</v>
      </c>
      <c r="BI124" s="12">
        <f t="shared" si="393"/>
        <v>0</v>
      </c>
      <c r="BJ124" s="12">
        <f t="shared" si="394"/>
        <v>0</v>
      </c>
      <c r="BK124" s="12">
        <f t="shared" si="395"/>
        <v>0</v>
      </c>
      <c r="BL124" s="12">
        <f t="shared" si="396"/>
        <v>0</v>
      </c>
      <c r="BM124" s="12">
        <f t="shared" si="397"/>
        <v>0</v>
      </c>
      <c r="BN124" s="12">
        <f t="shared" si="398"/>
        <v>0</v>
      </c>
      <c r="BO124" s="12">
        <f t="shared" si="399"/>
        <v>2</v>
      </c>
      <c r="BP124" s="12">
        <f t="shared" si="400"/>
        <v>0</v>
      </c>
      <c r="BQ124" s="12">
        <f t="shared" si="401"/>
        <v>0</v>
      </c>
      <c r="BR124" s="12">
        <f t="shared" si="402"/>
        <v>0</v>
      </c>
      <c r="BS124" s="12">
        <f t="shared" si="403"/>
        <v>0</v>
      </c>
      <c r="BT124" s="12">
        <f t="shared" si="404"/>
        <v>0</v>
      </c>
      <c r="BU124" s="12">
        <f t="shared" si="405"/>
        <v>0</v>
      </c>
      <c r="BV124" s="12">
        <f t="shared" si="406"/>
        <v>0</v>
      </c>
      <c r="BW124" s="12">
        <f t="shared" si="407"/>
        <v>0</v>
      </c>
      <c r="BX124" s="12">
        <f t="shared" si="408"/>
        <v>0</v>
      </c>
      <c r="BY124" s="12">
        <f t="shared" si="409"/>
        <v>0</v>
      </c>
      <c r="BZ124" s="12">
        <f t="shared" si="410"/>
        <v>0</v>
      </c>
      <c r="CA124" s="12">
        <f t="shared" si="411"/>
        <v>0</v>
      </c>
      <c r="CB124" s="12">
        <f t="shared" si="412"/>
        <v>0</v>
      </c>
      <c r="CC124" s="12">
        <f t="shared" si="413"/>
        <v>0</v>
      </c>
      <c r="CD124" s="12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2"/>
      <c r="CQ124" s="17">
        <v>1</v>
      </c>
      <c r="CR124" s="17"/>
      <c r="CS124" s="17"/>
      <c r="CT124" s="17"/>
      <c r="CU124" s="17"/>
      <c r="CV124" s="12"/>
      <c r="CW124" s="17"/>
      <c r="CX124" s="17"/>
      <c r="CY124" s="17"/>
      <c r="CZ124" s="17"/>
      <c r="DA124" s="17"/>
      <c r="DB124" s="17"/>
      <c r="DC124" s="17"/>
      <c r="DD124" s="17"/>
      <c r="DE124" s="12"/>
      <c r="DF124" s="17"/>
      <c r="DG124" s="17"/>
      <c r="DH124" s="17"/>
      <c r="DI124" s="36">
        <f>(AT124+SUM(AU124:AX124)+SUM(AY124:CC124)-SUM(CD124:DH124))</f>
        <v>5</v>
      </c>
      <c r="DJ124" s="12">
        <f t="shared" ref="DJ124:DJ125" si="448">DI124*200</f>
        <v>1000</v>
      </c>
      <c r="DK124" s="12">
        <f t="shared" si="417"/>
        <v>0</v>
      </c>
      <c r="DL124" s="12">
        <f t="shared" ref="DL124:DL125" si="449">DK124*200</f>
        <v>0</v>
      </c>
      <c r="DM124" s="12">
        <f t="shared" si="419"/>
        <v>1</v>
      </c>
      <c r="DN124" s="12">
        <f t="shared" ref="DN124:DN125" si="450">DM124*200</f>
        <v>200</v>
      </c>
      <c r="DO124" s="12">
        <f t="shared" si="421"/>
        <v>0</v>
      </c>
      <c r="DP124" s="12">
        <f t="shared" ref="DP124:DP125" si="451">DO124*200</f>
        <v>0</v>
      </c>
      <c r="DQ124" s="12">
        <f t="shared" si="423"/>
        <v>0</v>
      </c>
      <c r="DR124" s="12">
        <f t="shared" ref="DR124:DR125" si="452">DQ124*200</f>
        <v>0</v>
      </c>
      <c r="DS124" s="12">
        <f t="shared" si="425"/>
        <v>1</v>
      </c>
      <c r="DT124" s="12">
        <f t="shared" ref="DT124:DT125" si="453">DS124*200</f>
        <v>200</v>
      </c>
    </row>
    <row r="125" spans="1:129" ht="14.25" customHeight="1">
      <c r="A125" s="12">
        <v>121</v>
      </c>
      <c r="B125" s="26" t="s">
        <v>159</v>
      </c>
      <c r="C125" s="14"/>
      <c r="D125" s="100" t="s">
        <v>105</v>
      </c>
      <c r="E125" s="56">
        <v>17</v>
      </c>
      <c r="F125" s="103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>
        <v>2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2">
        <f t="shared" si="380"/>
        <v>15</v>
      </c>
      <c r="AP125" s="17">
        <f t="shared" si="447"/>
        <v>3000</v>
      </c>
      <c r="AQ125" s="12">
        <f t="shared" si="381"/>
        <v>3400</v>
      </c>
      <c r="AR125" s="66"/>
      <c r="AS125" s="126">
        <f t="shared" si="311"/>
        <v>2</v>
      </c>
      <c r="AT125" s="56">
        <v>0</v>
      </c>
      <c r="AU125" s="50"/>
      <c r="AV125" s="12"/>
      <c r="AW125" s="12"/>
      <c r="AX125" s="12"/>
      <c r="AY125" s="12">
        <f t="shared" si="383"/>
        <v>0</v>
      </c>
      <c r="AZ125" s="12">
        <f t="shared" si="384"/>
        <v>0</v>
      </c>
      <c r="BA125" s="12">
        <f t="shared" si="385"/>
        <v>0</v>
      </c>
      <c r="BB125" s="12">
        <f t="shared" si="386"/>
        <v>0</v>
      </c>
      <c r="BC125" s="12">
        <f t="shared" si="387"/>
        <v>0</v>
      </c>
      <c r="BD125" s="12">
        <f t="shared" si="388"/>
        <v>0</v>
      </c>
      <c r="BE125" s="12">
        <f t="shared" si="389"/>
        <v>0</v>
      </c>
      <c r="BF125" s="12">
        <f t="shared" si="390"/>
        <v>0</v>
      </c>
      <c r="BG125" s="12">
        <f t="shared" si="391"/>
        <v>0</v>
      </c>
      <c r="BH125" s="12">
        <f t="shared" si="392"/>
        <v>0</v>
      </c>
      <c r="BI125" s="12">
        <f t="shared" si="393"/>
        <v>0</v>
      </c>
      <c r="BJ125" s="12">
        <f t="shared" si="394"/>
        <v>0</v>
      </c>
      <c r="BK125" s="12">
        <f t="shared" si="395"/>
        <v>0</v>
      </c>
      <c r="BL125" s="12">
        <f t="shared" si="396"/>
        <v>0</v>
      </c>
      <c r="BM125" s="12">
        <f t="shared" si="397"/>
        <v>0</v>
      </c>
      <c r="BN125" s="12">
        <f t="shared" si="398"/>
        <v>0</v>
      </c>
      <c r="BO125" s="12">
        <f t="shared" si="399"/>
        <v>2</v>
      </c>
      <c r="BP125" s="12">
        <f t="shared" si="400"/>
        <v>0</v>
      </c>
      <c r="BQ125" s="12">
        <f t="shared" si="401"/>
        <v>0</v>
      </c>
      <c r="BR125" s="12">
        <f t="shared" si="402"/>
        <v>0</v>
      </c>
      <c r="BS125" s="12">
        <f t="shared" si="403"/>
        <v>0</v>
      </c>
      <c r="BT125" s="12">
        <f t="shared" si="404"/>
        <v>0</v>
      </c>
      <c r="BU125" s="12">
        <f t="shared" si="405"/>
        <v>0</v>
      </c>
      <c r="BV125" s="12">
        <f t="shared" si="406"/>
        <v>0</v>
      </c>
      <c r="BW125" s="12">
        <f t="shared" si="407"/>
        <v>0</v>
      </c>
      <c r="BX125" s="12">
        <f t="shared" si="408"/>
        <v>0</v>
      </c>
      <c r="BY125" s="12">
        <f t="shared" si="409"/>
        <v>0</v>
      </c>
      <c r="BZ125" s="12">
        <f t="shared" si="410"/>
        <v>0</v>
      </c>
      <c r="CA125" s="12">
        <f t="shared" si="411"/>
        <v>0</v>
      </c>
      <c r="CB125" s="12">
        <f t="shared" si="412"/>
        <v>0</v>
      </c>
      <c r="CC125" s="12">
        <f t="shared" si="413"/>
        <v>0</v>
      </c>
      <c r="CD125" s="12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2"/>
      <c r="CQ125" s="17"/>
      <c r="CR125" s="17"/>
      <c r="CS125" s="17"/>
      <c r="CT125" s="17"/>
      <c r="CU125" s="17"/>
      <c r="CV125" s="12"/>
      <c r="CW125" s="17"/>
      <c r="CX125" s="17"/>
      <c r="CY125" s="17"/>
      <c r="CZ125" s="17"/>
      <c r="DA125" s="17"/>
      <c r="DB125" s="17"/>
      <c r="DC125" s="17"/>
      <c r="DD125" s="17"/>
      <c r="DE125" s="12"/>
      <c r="DF125" s="17"/>
      <c r="DG125" s="17"/>
      <c r="DH125" s="17"/>
      <c r="DI125" s="36">
        <f>(AT125+SUM(AU125:AX125)+SUM(AY125:CC125)-SUM(CD125:DH125))</f>
        <v>2</v>
      </c>
      <c r="DJ125" s="12">
        <f t="shared" si="448"/>
        <v>400</v>
      </c>
      <c r="DK125" s="12">
        <f t="shared" si="417"/>
        <v>0</v>
      </c>
      <c r="DL125" s="12">
        <f t="shared" si="449"/>
        <v>0</v>
      </c>
      <c r="DM125" s="12">
        <f t="shared" si="419"/>
        <v>0</v>
      </c>
      <c r="DN125" s="12">
        <f t="shared" si="450"/>
        <v>0</v>
      </c>
      <c r="DO125" s="12">
        <f t="shared" si="421"/>
        <v>0</v>
      </c>
      <c r="DP125" s="12">
        <f t="shared" si="451"/>
        <v>0</v>
      </c>
      <c r="DQ125" s="12">
        <f t="shared" si="423"/>
        <v>0</v>
      </c>
      <c r="DR125" s="12">
        <f t="shared" si="452"/>
        <v>0</v>
      </c>
      <c r="DS125" s="12">
        <f t="shared" si="425"/>
        <v>0</v>
      </c>
      <c r="DT125" s="12">
        <f t="shared" si="453"/>
        <v>0</v>
      </c>
    </row>
    <row r="126" spans="1:129" ht="14.25" customHeight="1">
      <c r="A126" s="12">
        <v>122</v>
      </c>
      <c r="B126" s="26" t="s">
        <v>160</v>
      </c>
      <c r="C126" s="14"/>
      <c r="D126" s="100" t="s">
        <v>105</v>
      </c>
      <c r="E126" s="56">
        <v>1</v>
      </c>
      <c r="F126" s="103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2">
        <f t="shared" si="380"/>
        <v>1</v>
      </c>
      <c r="AP126" s="17">
        <f>AO126*100</f>
        <v>100</v>
      </c>
      <c r="AQ126" s="12">
        <f t="shared" si="381"/>
        <v>100</v>
      </c>
      <c r="AR126" s="17"/>
      <c r="AS126" s="126">
        <f t="shared" si="311"/>
        <v>0</v>
      </c>
      <c r="AT126" s="56">
        <v>0</v>
      </c>
      <c r="AU126" s="50"/>
      <c r="AV126" s="12"/>
      <c r="AW126" s="12"/>
      <c r="AX126" s="12"/>
      <c r="AY126" s="12">
        <f>J126*10</f>
        <v>0</v>
      </c>
      <c r="AZ126" s="12">
        <f t="shared" ref="AZ126:CC126" si="454">K126*10</f>
        <v>0</v>
      </c>
      <c r="BA126" s="12">
        <f t="shared" si="454"/>
        <v>0</v>
      </c>
      <c r="BB126" s="12">
        <f t="shared" si="454"/>
        <v>0</v>
      </c>
      <c r="BC126" s="12">
        <f t="shared" si="454"/>
        <v>0</v>
      </c>
      <c r="BD126" s="12">
        <f t="shared" si="454"/>
        <v>0</v>
      </c>
      <c r="BE126" s="12">
        <f t="shared" si="454"/>
        <v>0</v>
      </c>
      <c r="BF126" s="12">
        <f t="shared" si="454"/>
        <v>0</v>
      </c>
      <c r="BG126" s="12">
        <f t="shared" si="454"/>
        <v>0</v>
      </c>
      <c r="BH126" s="12">
        <f t="shared" si="454"/>
        <v>0</v>
      </c>
      <c r="BI126" s="12">
        <f t="shared" si="454"/>
        <v>0</v>
      </c>
      <c r="BJ126" s="12">
        <f t="shared" si="454"/>
        <v>0</v>
      </c>
      <c r="BK126" s="12">
        <f t="shared" si="454"/>
        <v>0</v>
      </c>
      <c r="BL126" s="12">
        <f t="shared" si="454"/>
        <v>0</v>
      </c>
      <c r="BM126" s="12">
        <f t="shared" si="454"/>
        <v>0</v>
      </c>
      <c r="BN126" s="12">
        <f t="shared" si="454"/>
        <v>0</v>
      </c>
      <c r="BO126" s="12">
        <f t="shared" si="454"/>
        <v>0</v>
      </c>
      <c r="BP126" s="12">
        <f t="shared" si="454"/>
        <v>0</v>
      </c>
      <c r="BQ126" s="12">
        <f t="shared" si="454"/>
        <v>0</v>
      </c>
      <c r="BR126" s="12">
        <f t="shared" si="454"/>
        <v>0</v>
      </c>
      <c r="BS126" s="12">
        <f t="shared" si="454"/>
        <v>0</v>
      </c>
      <c r="BT126" s="12">
        <f t="shared" si="454"/>
        <v>0</v>
      </c>
      <c r="BU126" s="12">
        <f t="shared" si="454"/>
        <v>0</v>
      </c>
      <c r="BV126" s="12">
        <f t="shared" si="454"/>
        <v>0</v>
      </c>
      <c r="BW126" s="12">
        <f t="shared" si="454"/>
        <v>0</v>
      </c>
      <c r="BX126" s="12">
        <f t="shared" si="454"/>
        <v>0</v>
      </c>
      <c r="BY126" s="12">
        <f t="shared" si="454"/>
        <v>0</v>
      </c>
      <c r="BZ126" s="12">
        <f t="shared" si="454"/>
        <v>0</v>
      </c>
      <c r="CA126" s="12">
        <f t="shared" si="454"/>
        <v>0</v>
      </c>
      <c r="CB126" s="12">
        <f t="shared" si="454"/>
        <v>0</v>
      </c>
      <c r="CC126" s="12">
        <f t="shared" si="454"/>
        <v>0</v>
      </c>
      <c r="CD126" s="12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2"/>
      <c r="CQ126" s="17"/>
      <c r="CR126" s="17"/>
      <c r="CS126" s="17"/>
      <c r="CT126" s="17"/>
      <c r="CU126" s="17"/>
      <c r="CV126" s="12"/>
      <c r="CW126" s="17"/>
      <c r="CX126" s="17"/>
      <c r="CY126" s="17"/>
      <c r="CZ126" s="17"/>
      <c r="DA126" s="17"/>
      <c r="DB126" s="17"/>
      <c r="DC126" s="17"/>
      <c r="DD126" s="17"/>
      <c r="DE126" s="12"/>
      <c r="DF126" s="17"/>
      <c r="DG126" s="17"/>
      <c r="DH126" s="17"/>
      <c r="DI126" s="36">
        <f>(AT126+SUM(AU126:AX126)+SUM(AY126:CC126)-SUM(CD126:DH126))</f>
        <v>0</v>
      </c>
      <c r="DJ126" s="12">
        <f t="shared" ref="DJ126:DJ127" si="455">DI126*10</f>
        <v>0</v>
      </c>
      <c r="DK126" s="12">
        <f t="shared" si="417"/>
        <v>0</v>
      </c>
      <c r="DL126" s="12">
        <f t="shared" ref="DL126:DL127" si="456">DK126*10</f>
        <v>0</v>
      </c>
      <c r="DM126" s="12">
        <f t="shared" si="419"/>
        <v>0</v>
      </c>
      <c r="DN126" s="12">
        <f t="shared" ref="DN126:DN127" si="457">DM126*10</f>
        <v>0</v>
      </c>
      <c r="DO126" s="12">
        <f t="shared" si="421"/>
        <v>0</v>
      </c>
      <c r="DP126" s="12">
        <f t="shared" ref="DP126:DP127" si="458">DO126*10</f>
        <v>0</v>
      </c>
      <c r="DQ126" s="12">
        <f t="shared" si="423"/>
        <v>0</v>
      </c>
      <c r="DR126" s="12">
        <f t="shared" ref="DR126:DR127" si="459">DQ126*10</f>
        <v>0</v>
      </c>
      <c r="DS126" s="12">
        <f t="shared" si="425"/>
        <v>0</v>
      </c>
      <c r="DT126" s="12">
        <f t="shared" ref="DT126:DT127" si="460">DS126*10</f>
        <v>0</v>
      </c>
    </row>
    <row r="127" spans="1:129" ht="14.25" customHeight="1">
      <c r="A127" s="12">
        <v>123</v>
      </c>
      <c r="B127" s="26" t="s">
        <v>161</v>
      </c>
      <c r="C127" s="14"/>
      <c r="D127" s="100" t="s">
        <v>105</v>
      </c>
      <c r="E127" s="56">
        <v>2</v>
      </c>
      <c r="F127" s="103"/>
      <c r="G127" s="17"/>
      <c r="H127" s="17"/>
      <c r="I127" s="17"/>
      <c r="J127" s="17">
        <v>1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2">
        <f t="shared" si="380"/>
        <v>1</v>
      </c>
      <c r="AP127" s="17">
        <f>AO127*100</f>
        <v>100</v>
      </c>
      <c r="AQ127" s="12">
        <f t="shared" si="381"/>
        <v>170</v>
      </c>
      <c r="AR127" s="17"/>
      <c r="AS127" s="126">
        <f t="shared" si="311"/>
        <v>7</v>
      </c>
      <c r="AT127" s="56">
        <v>2</v>
      </c>
      <c r="AU127" s="50"/>
      <c r="AV127" s="12"/>
      <c r="AW127" s="12"/>
      <c r="AX127" s="12"/>
      <c r="AY127" s="12">
        <f>J127*10</f>
        <v>10</v>
      </c>
      <c r="AZ127" s="12">
        <f t="shared" ref="AZ127:CC127" si="461">K127*10</f>
        <v>0</v>
      </c>
      <c r="BA127" s="12">
        <f t="shared" si="461"/>
        <v>0</v>
      </c>
      <c r="BB127" s="12">
        <f t="shared" si="461"/>
        <v>0</v>
      </c>
      <c r="BC127" s="12">
        <f t="shared" si="461"/>
        <v>0</v>
      </c>
      <c r="BD127" s="12">
        <f t="shared" si="461"/>
        <v>0</v>
      </c>
      <c r="BE127" s="12">
        <f t="shared" si="461"/>
        <v>0</v>
      </c>
      <c r="BF127" s="12">
        <f t="shared" si="461"/>
        <v>0</v>
      </c>
      <c r="BG127" s="12">
        <f t="shared" si="461"/>
        <v>0</v>
      </c>
      <c r="BH127" s="12">
        <f t="shared" si="461"/>
        <v>0</v>
      </c>
      <c r="BI127" s="12">
        <f t="shared" si="461"/>
        <v>0</v>
      </c>
      <c r="BJ127" s="12">
        <f t="shared" si="461"/>
        <v>0</v>
      </c>
      <c r="BK127" s="12">
        <f t="shared" si="461"/>
        <v>0</v>
      </c>
      <c r="BL127" s="12">
        <f t="shared" si="461"/>
        <v>0</v>
      </c>
      <c r="BM127" s="12">
        <f t="shared" si="461"/>
        <v>0</v>
      </c>
      <c r="BN127" s="12">
        <f t="shared" si="461"/>
        <v>0</v>
      </c>
      <c r="BO127" s="12">
        <f t="shared" si="461"/>
        <v>0</v>
      </c>
      <c r="BP127" s="12">
        <f t="shared" si="461"/>
        <v>0</v>
      </c>
      <c r="BQ127" s="12">
        <f t="shared" si="461"/>
        <v>0</v>
      </c>
      <c r="BR127" s="12">
        <f t="shared" si="461"/>
        <v>0</v>
      </c>
      <c r="BS127" s="12">
        <f t="shared" si="461"/>
        <v>0</v>
      </c>
      <c r="BT127" s="12">
        <f t="shared" si="461"/>
        <v>0</v>
      </c>
      <c r="BU127" s="12">
        <f t="shared" si="461"/>
        <v>0</v>
      </c>
      <c r="BV127" s="12">
        <f t="shared" si="461"/>
        <v>0</v>
      </c>
      <c r="BW127" s="12">
        <f t="shared" si="461"/>
        <v>0</v>
      </c>
      <c r="BX127" s="12">
        <f t="shared" si="461"/>
        <v>0</v>
      </c>
      <c r="BY127" s="12">
        <f t="shared" si="461"/>
        <v>0</v>
      </c>
      <c r="BZ127" s="12">
        <f t="shared" si="461"/>
        <v>0</v>
      </c>
      <c r="CA127" s="12">
        <f t="shared" si="461"/>
        <v>0</v>
      </c>
      <c r="CB127" s="12">
        <f t="shared" si="461"/>
        <v>0</v>
      </c>
      <c r="CC127" s="12">
        <f t="shared" si="461"/>
        <v>0</v>
      </c>
      <c r="CD127" s="12"/>
      <c r="CE127" s="17"/>
      <c r="CF127" s="17"/>
      <c r="CG127" s="17">
        <v>2</v>
      </c>
      <c r="CH127" s="17"/>
      <c r="CI127" s="17"/>
      <c r="CJ127" s="17"/>
      <c r="CK127" s="17"/>
      <c r="CL127" s="17"/>
      <c r="CM127" s="17"/>
      <c r="CN127" s="17"/>
      <c r="CO127" s="17"/>
      <c r="CP127" s="12">
        <v>3</v>
      </c>
      <c r="CQ127" s="17"/>
      <c r="CR127" s="17"/>
      <c r="CS127" s="17"/>
      <c r="CT127" s="17"/>
      <c r="CU127" s="17"/>
      <c r="CV127" s="12"/>
      <c r="CW127" s="17"/>
      <c r="CX127" s="17"/>
      <c r="CY127" s="17"/>
      <c r="CZ127" s="17"/>
      <c r="DA127" s="17"/>
      <c r="DB127" s="17"/>
      <c r="DC127" s="17"/>
      <c r="DD127" s="17"/>
      <c r="DE127" s="12"/>
      <c r="DF127" s="17"/>
      <c r="DG127" s="17"/>
      <c r="DH127" s="17"/>
      <c r="DI127" s="36">
        <f t="shared" ref="DI127" si="462">(AT127+SUM(AU127:AX127)*100+SUM(AY127:CC127)-SUM(CD127:DH127))</f>
        <v>7</v>
      </c>
      <c r="DJ127" s="12">
        <f t="shared" si="455"/>
        <v>70</v>
      </c>
      <c r="DK127" s="12">
        <f t="shared" si="417"/>
        <v>2</v>
      </c>
      <c r="DL127" s="12">
        <f t="shared" si="456"/>
        <v>20</v>
      </c>
      <c r="DM127" s="12">
        <f t="shared" si="419"/>
        <v>3</v>
      </c>
      <c r="DN127" s="12">
        <f t="shared" si="457"/>
        <v>30</v>
      </c>
      <c r="DO127" s="12">
        <f t="shared" si="421"/>
        <v>0</v>
      </c>
      <c r="DP127" s="12">
        <f t="shared" si="458"/>
        <v>0</v>
      </c>
      <c r="DQ127" s="12">
        <f t="shared" si="423"/>
        <v>0</v>
      </c>
      <c r="DR127" s="12">
        <f t="shared" si="459"/>
        <v>0</v>
      </c>
      <c r="DS127" s="12">
        <f t="shared" si="425"/>
        <v>5</v>
      </c>
      <c r="DT127" s="12">
        <f t="shared" si="460"/>
        <v>50</v>
      </c>
    </row>
    <row r="128" spans="1:129" ht="14.25" customHeight="1">
      <c r="A128" s="30">
        <v>124</v>
      </c>
      <c r="B128" s="26" t="s">
        <v>162</v>
      </c>
      <c r="C128" s="15" t="s">
        <v>32</v>
      </c>
      <c r="D128" s="100" t="s">
        <v>105</v>
      </c>
      <c r="E128" s="56">
        <v>0</v>
      </c>
      <c r="F128" s="103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2">
        <f t="shared" si="380"/>
        <v>0</v>
      </c>
      <c r="AP128" s="17">
        <f t="shared" ref="AP128:AP129" si="463">AO128*100</f>
        <v>0</v>
      </c>
      <c r="AQ128" s="12">
        <f t="shared" si="381"/>
        <v>0</v>
      </c>
      <c r="AR128" s="17"/>
      <c r="AS128" s="126">
        <f t="shared" si="311"/>
        <v>0</v>
      </c>
      <c r="AT128" s="56">
        <v>0</v>
      </c>
      <c r="AU128" s="50"/>
      <c r="AV128" s="12"/>
      <c r="AW128" s="12"/>
      <c r="AX128" s="12"/>
      <c r="AY128" s="12">
        <f t="shared" si="383"/>
        <v>0</v>
      </c>
      <c r="AZ128" s="12">
        <f t="shared" si="384"/>
        <v>0</v>
      </c>
      <c r="BA128" s="12">
        <f t="shared" si="385"/>
        <v>0</v>
      </c>
      <c r="BB128" s="12">
        <f t="shared" si="386"/>
        <v>0</v>
      </c>
      <c r="BC128" s="12">
        <f t="shared" si="387"/>
        <v>0</v>
      </c>
      <c r="BD128" s="12">
        <f t="shared" si="388"/>
        <v>0</v>
      </c>
      <c r="BE128" s="12">
        <f t="shared" si="389"/>
        <v>0</v>
      </c>
      <c r="BF128" s="12">
        <f t="shared" si="390"/>
        <v>0</v>
      </c>
      <c r="BG128" s="12">
        <f t="shared" si="391"/>
        <v>0</v>
      </c>
      <c r="BH128" s="12">
        <f t="shared" si="392"/>
        <v>0</v>
      </c>
      <c r="BI128" s="12">
        <f t="shared" si="393"/>
        <v>0</v>
      </c>
      <c r="BJ128" s="12">
        <f t="shared" si="394"/>
        <v>0</v>
      </c>
      <c r="BK128" s="12">
        <f t="shared" si="395"/>
        <v>0</v>
      </c>
      <c r="BL128" s="12">
        <f t="shared" si="396"/>
        <v>0</v>
      </c>
      <c r="BM128" s="12">
        <f t="shared" si="397"/>
        <v>0</v>
      </c>
      <c r="BN128" s="12">
        <f t="shared" si="398"/>
        <v>0</v>
      </c>
      <c r="BO128" s="12">
        <f t="shared" si="399"/>
        <v>0</v>
      </c>
      <c r="BP128" s="12">
        <f t="shared" si="400"/>
        <v>0</v>
      </c>
      <c r="BQ128" s="12">
        <f t="shared" si="401"/>
        <v>0</v>
      </c>
      <c r="BR128" s="12">
        <f t="shared" si="402"/>
        <v>0</v>
      </c>
      <c r="BS128" s="12">
        <f t="shared" si="403"/>
        <v>0</v>
      </c>
      <c r="BT128" s="12">
        <f t="shared" si="404"/>
        <v>0</v>
      </c>
      <c r="BU128" s="12">
        <f t="shared" si="405"/>
        <v>0</v>
      </c>
      <c r="BV128" s="12">
        <f t="shared" si="406"/>
        <v>0</v>
      </c>
      <c r="BW128" s="12">
        <f t="shared" si="407"/>
        <v>0</v>
      </c>
      <c r="BX128" s="12">
        <f t="shared" si="408"/>
        <v>0</v>
      </c>
      <c r="BY128" s="12">
        <f t="shared" si="409"/>
        <v>0</v>
      </c>
      <c r="BZ128" s="12">
        <f t="shared" si="410"/>
        <v>0</v>
      </c>
      <c r="CA128" s="12">
        <f t="shared" si="411"/>
        <v>0</v>
      </c>
      <c r="CB128" s="12">
        <f t="shared" si="412"/>
        <v>0</v>
      </c>
      <c r="CC128" s="12">
        <f t="shared" si="413"/>
        <v>0</v>
      </c>
      <c r="CD128" s="12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2"/>
      <c r="CQ128" s="17"/>
      <c r="CR128" s="17"/>
      <c r="CS128" s="17"/>
      <c r="CT128" s="17"/>
      <c r="CU128" s="17"/>
      <c r="CV128" s="12"/>
      <c r="CW128" s="17"/>
      <c r="CX128" s="17"/>
      <c r="CY128" s="17"/>
      <c r="CZ128" s="17"/>
      <c r="DA128" s="17"/>
      <c r="DB128" s="17"/>
      <c r="DC128" s="17"/>
      <c r="DD128" s="17"/>
      <c r="DE128" s="12"/>
      <c r="DF128" s="17"/>
      <c r="DG128" s="17"/>
      <c r="DH128" s="17"/>
      <c r="DI128" s="36">
        <f>(AT128+SUM(AU128:AX128)+SUM(AY128:CC128)-SUM(CD128:DH128))</f>
        <v>0</v>
      </c>
      <c r="DJ128" s="12">
        <f t="shared" ref="DJ128:DJ129" si="464">DI128*100</f>
        <v>0</v>
      </c>
      <c r="DK128" s="12">
        <f t="shared" si="417"/>
        <v>0</v>
      </c>
      <c r="DL128" s="12">
        <f t="shared" ref="DL128:DL129" si="465">DK128*100</f>
        <v>0</v>
      </c>
      <c r="DM128" s="12">
        <f t="shared" si="419"/>
        <v>0</v>
      </c>
      <c r="DN128" s="12">
        <f t="shared" ref="DN128:DN129" si="466">DM128*100</f>
        <v>0</v>
      </c>
      <c r="DO128" s="12">
        <f t="shared" si="421"/>
        <v>0</v>
      </c>
      <c r="DP128" s="12">
        <f t="shared" ref="DP128:DP129" si="467">DO128*100</f>
        <v>0</v>
      </c>
      <c r="DQ128" s="12">
        <f t="shared" si="423"/>
        <v>0</v>
      </c>
      <c r="DR128" s="12">
        <f t="shared" ref="DR128:DR129" si="468">DQ128*100</f>
        <v>0</v>
      </c>
      <c r="DS128" s="12">
        <f t="shared" si="425"/>
        <v>0</v>
      </c>
      <c r="DT128" s="12">
        <f t="shared" ref="DT128:DT129" si="469">DS128*100</f>
        <v>0</v>
      </c>
    </row>
    <row r="129" spans="1:124" ht="14.25" customHeight="1">
      <c r="A129" s="30">
        <v>125</v>
      </c>
      <c r="B129" s="26" t="s">
        <v>163</v>
      </c>
      <c r="C129" s="15" t="s">
        <v>32</v>
      </c>
      <c r="D129" s="100" t="s">
        <v>105</v>
      </c>
      <c r="E129" s="56">
        <v>0</v>
      </c>
      <c r="F129" s="103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2">
        <f t="shared" si="380"/>
        <v>0</v>
      </c>
      <c r="AP129" s="17">
        <f t="shared" si="463"/>
        <v>0</v>
      </c>
      <c r="AQ129" s="12">
        <f t="shared" si="381"/>
        <v>0</v>
      </c>
      <c r="AR129" s="17"/>
      <c r="AS129" s="126">
        <f t="shared" si="311"/>
        <v>0</v>
      </c>
      <c r="AT129" s="56">
        <v>0</v>
      </c>
      <c r="AU129" s="50"/>
      <c r="AV129" s="12"/>
      <c r="AW129" s="12"/>
      <c r="AX129" s="12"/>
      <c r="AY129" s="12">
        <f t="shared" si="383"/>
        <v>0</v>
      </c>
      <c r="AZ129" s="12">
        <f t="shared" si="384"/>
        <v>0</v>
      </c>
      <c r="BA129" s="12">
        <f t="shared" si="385"/>
        <v>0</v>
      </c>
      <c r="BB129" s="12">
        <f t="shared" si="386"/>
        <v>0</v>
      </c>
      <c r="BC129" s="12">
        <f t="shared" si="387"/>
        <v>0</v>
      </c>
      <c r="BD129" s="12">
        <f t="shared" si="388"/>
        <v>0</v>
      </c>
      <c r="BE129" s="12">
        <f t="shared" si="389"/>
        <v>0</v>
      </c>
      <c r="BF129" s="12">
        <f t="shared" si="390"/>
        <v>0</v>
      </c>
      <c r="BG129" s="12">
        <f t="shared" si="391"/>
        <v>0</v>
      </c>
      <c r="BH129" s="12">
        <f t="shared" si="392"/>
        <v>0</v>
      </c>
      <c r="BI129" s="12">
        <f t="shared" si="393"/>
        <v>0</v>
      </c>
      <c r="BJ129" s="12">
        <f t="shared" si="394"/>
        <v>0</v>
      </c>
      <c r="BK129" s="12">
        <f t="shared" si="395"/>
        <v>0</v>
      </c>
      <c r="BL129" s="12">
        <f t="shared" si="396"/>
        <v>0</v>
      </c>
      <c r="BM129" s="12">
        <f t="shared" si="397"/>
        <v>0</v>
      </c>
      <c r="BN129" s="12">
        <f t="shared" si="398"/>
        <v>0</v>
      </c>
      <c r="BO129" s="12">
        <f t="shared" si="399"/>
        <v>0</v>
      </c>
      <c r="BP129" s="12">
        <f t="shared" si="400"/>
        <v>0</v>
      </c>
      <c r="BQ129" s="12">
        <f t="shared" si="401"/>
        <v>0</v>
      </c>
      <c r="BR129" s="12">
        <f t="shared" si="402"/>
        <v>0</v>
      </c>
      <c r="BS129" s="12">
        <f t="shared" si="403"/>
        <v>0</v>
      </c>
      <c r="BT129" s="12">
        <f t="shared" si="404"/>
        <v>0</v>
      </c>
      <c r="BU129" s="12">
        <f t="shared" si="405"/>
        <v>0</v>
      </c>
      <c r="BV129" s="12">
        <f t="shared" si="406"/>
        <v>0</v>
      </c>
      <c r="BW129" s="12">
        <f t="shared" si="407"/>
        <v>0</v>
      </c>
      <c r="BX129" s="12">
        <f t="shared" si="408"/>
        <v>0</v>
      </c>
      <c r="BY129" s="12">
        <f t="shared" si="409"/>
        <v>0</v>
      </c>
      <c r="BZ129" s="12">
        <f t="shared" si="410"/>
        <v>0</v>
      </c>
      <c r="CA129" s="12">
        <f t="shared" si="411"/>
        <v>0</v>
      </c>
      <c r="CB129" s="12">
        <f t="shared" si="412"/>
        <v>0</v>
      </c>
      <c r="CC129" s="12">
        <f t="shared" si="413"/>
        <v>0</v>
      </c>
      <c r="CD129" s="12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2"/>
      <c r="CQ129" s="17"/>
      <c r="CR129" s="17"/>
      <c r="CS129" s="17"/>
      <c r="CT129" s="17"/>
      <c r="CU129" s="17"/>
      <c r="CV129" s="12"/>
      <c r="CW129" s="17"/>
      <c r="CX129" s="17"/>
      <c r="CY129" s="17"/>
      <c r="CZ129" s="17"/>
      <c r="DA129" s="17"/>
      <c r="DB129" s="17"/>
      <c r="DC129" s="17"/>
      <c r="DD129" s="17"/>
      <c r="DE129" s="12"/>
      <c r="DF129" s="17"/>
      <c r="DG129" s="17"/>
      <c r="DH129" s="17"/>
      <c r="DI129" s="36">
        <f>(AT129+SUM(AU129:AX129)+SUM(AY129:CC129)-SUM(CD129:DH129))</f>
        <v>0</v>
      </c>
      <c r="DJ129" s="12">
        <f t="shared" si="464"/>
        <v>0</v>
      </c>
      <c r="DK129" s="12">
        <f t="shared" si="417"/>
        <v>0</v>
      </c>
      <c r="DL129" s="12">
        <f t="shared" si="465"/>
        <v>0</v>
      </c>
      <c r="DM129" s="12">
        <f t="shared" si="419"/>
        <v>0</v>
      </c>
      <c r="DN129" s="12">
        <f t="shared" si="466"/>
        <v>0</v>
      </c>
      <c r="DO129" s="12">
        <f t="shared" si="421"/>
        <v>0</v>
      </c>
      <c r="DP129" s="12">
        <f t="shared" si="467"/>
        <v>0</v>
      </c>
      <c r="DQ129" s="12">
        <f t="shared" si="423"/>
        <v>0</v>
      </c>
      <c r="DR129" s="12">
        <f t="shared" si="468"/>
        <v>0</v>
      </c>
      <c r="DS129" s="12">
        <f t="shared" si="425"/>
        <v>0</v>
      </c>
      <c r="DT129" s="12">
        <f t="shared" si="469"/>
        <v>0</v>
      </c>
    </row>
    <row r="130" spans="1:124" ht="14.25" customHeight="1">
      <c r="A130" s="12">
        <v>126</v>
      </c>
      <c r="B130" s="26" t="s">
        <v>164</v>
      </c>
      <c r="C130" s="14"/>
      <c r="D130" s="100" t="s">
        <v>105</v>
      </c>
      <c r="E130" s="56">
        <v>2</v>
      </c>
      <c r="F130" s="103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>
        <v>2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2">
        <f t="shared" si="380"/>
        <v>0</v>
      </c>
      <c r="AP130" s="17">
        <f t="shared" ref="AP130:AP132" si="470">AO130*1000</f>
        <v>0</v>
      </c>
      <c r="AQ130" s="12">
        <f t="shared" si="381"/>
        <v>3000</v>
      </c>
      <c r="AR130" s="17"/>
      <c r="AS130" s="126">
        <f t="shared" si="311"/>
        <v>3</v>
      </c>
      <c r="AT130" s="56">
        <v>2</v>
      </c>
      <c r="AU130" s="50"/>
      <c r="AV130" s="12"/>
      <c r="AW130" s="12"/>
      <c r="AX130" s="12"/>
      <c r="AY130" s="12">
        <f t="shared" si="383"/>
        <v>0</v>
      </c>
      <c r="AZ130" s="12">
        <f t="shared" si="384"/>
        <v>0</v>
      </c>
      <c r="BA130" s="12">
        <f t="shared" si="385"/>
        <v>0</v>
      </c>
      <c r="BB130" s="12">
        <f t="shared" si="386"/>
        <v>0</v>
      </c>
      <c r="BC130" s="12">
        <f t="shared" si="387"/>
        <v>0</v>
      </c>
      <c r="BD130" s="12">
        <f t="shared" si="388"/>
        <v>0</v>
      </c>
      <c r="BE130" s="12">
        <f t="shared" si="389"/>
        <v>0</v>
      </c>
      <c r="BF130" s="12">
        <f t="shared" si="390"/>
        <v>0</v>
      </c>
      <c r="BG130" s="12">
        <f t="shared" si="391"/>
        <v>0</v>
      </c>
      <c r="BH130" s="12">
        <f t="shared" si="392"/>
        <v>0</v>
      </c>
      <c r="BI130" s="12">
        <f t="shared" si="393"/>
        <v>0</v>
      </c>
      <c r="BJ130" s="12">
        <f t="shared" si="394"/>
        <v>0</v>
      </c>
      <c r="BK130" s="12">
        <f t="shared" si="395"/>
        <v>0</v>
      </c>
      <c r="BL130" s="12">
        <f t="shared" si="396"/>
        <v>0</v>
      </c>
      <c r="BM130" s="12">
        <f t="shared" si="397"/>
        <v>0</v>
      </c>
      <c r="BN130" s="12">
        <f t="shared" si="398"/>
        <v>0</v>
      </c>
      <c r="BO130" s="12">
        <f t="shared" si="399"/>
        <v>2</v>
      </c>
      <c r="BP130" s="12">
        <f t="shared" si="400"/>
        <v>0</v>
      </c>
      <c r="BQ130" s="12">
        <f t="shared" si="401"/>
        <v>0</v>
      </c>
      <c r="BR130" s="12">
        <f t="shared" si="402"/>
        <v>0</v>
      </c>
      <c r="BS130" s="12">
        <f t="shared" si="403"/>
        <v>0</v>
      </c>
      <c r="BT130" s="12">
        <f t="shared" si="404"/>
        <v>0</v>
      </c>
      <c r="BU130" s="12">
        <f t="shared" si="405"/>
        <v>0</v>
      </c>
      <c r="BV130" s="12">
        <f t="shared" si="406"/>
        <v>0</v>
      </c>
      <c r="BW130" s="12">
        <f t="shared" si="407"/>
        <v>0</v>
      </c>
      <c r="BX130" s="12">
        <f t="shared" si="408"/>
        <v>0</v>
      </c>
      <c r="BY130" s="12">
        <f t="shared" si="409"/>
        <v>0</v>
      </c>
      <c r="BZ130" s="12">
        <f t="shared" si="410"/>
        <v>0</v>
      </c>
      <c r="CA130" s="12">
        <f t="shared" si="411"/>
        <v>0</v>
      </c>
      <c r="CB130" s="12">
        <f t="shared" si="412"/>
        <v>0</v>
      </c>
      <c r="CC130" s="12">
        <f t="shared" si="413"/>
        <v>0</v>
      </c>
      <c r="CD130" s="12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2">
        <v>1</v>
      </c>
      <c r="CQ130" s="17"/>
      <c r="CR130" s="17"/>
      <c r="CS130" s="17"/>
      <c r="CT130" s="17"/>
      <c r="CU130" s="17"/>
      <c r="CV130" s="12"/>
      <c r="CW130" s="17"/>
      <c r="CX130" s="17"/>
      <c r="CY130" s="17"/>
      <c r="CZ130" s="17"/>
      <c r="DA130" s="17"/>
      <c r="DB130" s="17"/>
      <c r="DC130" s="17"/>
      <c r="DD130" s="17"/>
      <c r="DE130" s="12"/>
      <c r="DF130" s="17"/>
      <c r="DG130" s="17"/>
      <c r="DH130" s="17"/>
      <c r="DI130" s="36">
        <f>(AT130+SUM(AU130:AX130)*1000+SUM(AY130:CC130)-SUM(CD130:DH130))</f>
        <v>3</v>
      </c>
      <c r="DJ130" s="12">
        <f t="shared" ref="DJ130:DJ131" si="471">DI130*1000</f>
        <v>3000</v>
      </c>
      <c r="DK130" s="12">
        <f t="shared" si="417"/>
        <v>0</v>
      </c>
      <c r="DL130" s="12">
        <f t="shared" ref="DL130:DL131" si="472">DK130*1000</f>
        <v>0</v>
      </c>
      <c r="DM130" s="12">
        <f t="shared" si="419"/>
        <v>1</v>
      </c>
      <c r="DN130" s="12">
        <f t="shared" ref="DN130:DN131" si="473">DM130*1000</f>
        <v>1000</v>
      </c>
      <c r="DO130" s="12">
        <f t="shared" si="421"/>
        <v>0</v>
      </c>
      <c r="DP130" s="12">
        <f t="shared" ref="DP130:DP131" si="474">DO130*1000</f>
        <v>0</v>
      </c>
      <c r="DQ130" s="12">
        <f t="shared" si="423"/>
        <v>0</v>
      </c>
      <c r="DR130" s="12">
        <f t="shared" ref="DR130:DR131" si="475">DQ130*1000</f>
        <v>0</v>
      </c>
      <c r="DS130" s="12">
        <f t="shared" si="425"/>
        <v>1</v>
      </c>
      <c r="DT130" s="12">
        <f t="shared" ref="DT130:DT131" si="476">DS130*1000</f>
        <v>1000</v>
      </c>
    </row>
    <row r="131" spans="1:124" ht="14.25" customHeight="1">
      <c r="A131" s="12">
        <v>127</v>
      </c>
      <c r="B131" s="26" t="s">
        <v>165</v>
      </c>
      <c r="C131" s="14"/>
      <c r="D131" s="100" t="s">
        <v>105</v>
      </c>
      <c r="E131" s="56">
        <v>4</v>
      </c>
      <c r="F131" s="103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2">
        <f t="shared" si="380"/>
        <v>4</v>
      </c>
      <c r="AP131" s="17">
        <f t="shared" si="470"/>
        <v>4000</v>
      </c>
      <c r="AQ131" s="12">
        <f t="shared" si="381"/>
        <v>4000</v>
      </c>
      <c r="AR131" s="17"/>
      <c r="AS131" s="126">
        <f t="shared" si="311"/>
        <v>0</v>
      </c>
      <c r="AT131" s="56">
        <v>0</v>
      </c>
      <c r="AU131" s="50"/>
      <c r="AV131" s="12"/>
      <c r="AW131" s="12"/>
      <c r="AX131" s="12"/>
      <c r="AY131" s="12">
        <f t="shared" si="383"/>
        <v>0</v>
      </c>
      <c r="AZ131" s="12">
        <f t="shared" si="384"/>
        <v>0</v>
      </c>
      <c r="BA131" s="12">
        <f t="shared" si="385"/>
        <v>0</v>
      </c>
      <c r="BB131" s="12">
        <f t="shared" si="386"/>
        <v>0</v>
      </c>
      <c r="BC131" s="12">
        <f t="shared" si="387"/>
        <v>0</v>
      </c>
      <c r="BD131" s="12">
        <f t="shared" si="388"/>
        <v>0</v>
      </c>
      <c r="BE131" s="12">
        <f t="shared" si="389"/>
        <v>0</v>
      </c>
      <c r="BF131" s="12">
        <f t="shared" si="390"/>
        <v>0</v>
      </c>
      <c r="BG131" s="12">
        <f t="shared" si="391"/>
        <v>0</v>
      </c>
      <c r="BH131" s="12">
        <f t="shared" si="392"/>
        <v>0</v>
      </c>
      <c r="BI131" s="12">
        <f t="shared" si="393"/>
        <v>0</v>
      </c>
      <c r="BJ131" s="12">
        <f t="shared" si="394"/>
        <v>0</v>
      </c>
      <c r="BK131" s="12">
        <f t="shared" si="395"/>
        <v>0</v>
      </c>
      <c r="BL131" s="12">
        <f t="shared" si="396"/>
        <v>0</v>
      </c>
      <c r="BM131" s="12">
        <f t="shared" si="397"/>
        <v>0</v>
      </c>
      <c r="BN131" s="12">
        <f t="shared" si="398"/>
        <v>0</v>
      </c>
      <c r="BO131" s="12">
        <f t="shared" si="399"/>
        <v>0</v>
      </c>
      <c r="BP131" s="12">
        <f t="shared" si="400"/>
        <v>0</v>
      </c>
      <c r="BQ131" s="12">
        <f t="shared" si="401"/>
        <v>0</v>
      </c>
      <c r="BR131" s="12">
        <f t="shared" si="402"/>
        <v>0</v>
      </c>
      <c r="BS131" s="12">
        <f t="shared" si="403"/>
        <v>0</v>
      </c>
      <c r="BT131" s="12">
        <f t="shared" si="404"/>
        <v>0</v>
      </c>
      <c r="BU131" s="12">
        <f t="shared" si="405"/>
        <v>0</v>
      </c>
      <c r="BV131" s="12">
        <f t="shared" si="406"/>
        <v>0</v>
      </c>
      <c r="BW131" s="12">
        <f t="shared" si="407"/>
        <v>0</v>
      </c>
      <c r="BX131" s="12">
        <f t="shared" si="408"/>
        <v>0</v>
      </c>
      <c r="BY131" s="12">
        <f t="shared" si="409"/>
        <v>0</v>
      </c>
      <c r="BZ131" s="12">
        <f t="shared" si="410"/>
        <v>0</v>
      </c>
      <c r="CA131" s="12">
        <f t="shared" si="411"/>
        <v>0</v>
      </c>
      <c r="CB131" s="12">
        <f t="shared" si="412"/>
        <v>0</v>
      </c>
      <c r="CC131" s="12">
        <f t="shared" si="413"/>
        <v>0</v>
      </c>
      <c r="CD131" s="12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2"/>
      <c r="CQ131" s="17"/>
      <c r="CR131" s="17"/>
      <c r="CS131" s="17"/>
      <c r="CT131" s="17"/>
      <c r="CU131" s="17"/>
      <c r="CV131" s="12"/>
      <c r="CW131" s="17"/>
      <c r="CX131" s="17"/>
      <c r="CY131" s="17"/>
      <c r="CZ131" s="17"/>
      <c r="DA131" s="17"/>
      <c r="DB131" s="17"/>
      <c r="DC131" s="17"/>
      <c r="DD131" s="17"/>
      <c r="DE131" s="12"/>
      <c r="DF131" s="17"/>
      <c r="DG131" s="17"/>
      <c r="DH131" s="17"/>
      <c r="DI131" s="36">
        <f>(AT131+SUM(AU131:AX131)*1000+SUM(AY131:CC131)-SUM(CD131:DH131))</f>
        <v>0</v>
      </c>
      <c r="DJ131" s="12">
        <f t="shared" si="471"/>
        <v>0</v>
      </c>
      <c r="DK131" s="12">
        <f t="shared" si="417"/>
        <v>0</v>
      </c>
      <c r="DL131" s="12">
        <f t="shared" si="472"/>
        <v>0</v>
      </c>
      <c r="DM131" s="12">
        <f t="shared" si="419"/>
        <v>0</v>
      </c>
      <c r="DN131" s="12">
        <f t="shared" si="473"/>
        <v>0</v>
      </c>
      <c r="DO131" s="12">
        <f t="shared" si="421"/>
        <v>0</v>
      </c>
      <c r="DP131" s="12">
        <f t="shared" si="474"/>
        <v>0</v>
      </c>
      <c r="DQ131" s="12">
        <f t="shared" si="423"/>
        <v>0</v>
      </c>
      <c r="DR131" s="12">
        <f t="shared" si="475"/>
        <v>0</v>
      </c>
      <c r="DS131" s="12">
        <f t="shared" si="425"/>
        <v>0</v>
      </c>
      <c r="DT131" s="12">
        <f t="shared" si="476"/>
        <v>0</v>
      </c>
    </row>
    <row r="132" spans="1:124" ht="14.25" customHeight="1">
      <c r="A132" s="12">
        <v>128</v>
      </c>
      <c r="B132" s="67" t="s">
        <v>377</v>
      </c>
      <c r="C132" s="14"/>
      <c r="D132" s="119"/>
      <c r="E132" s="56">
        <v>0</v>
      </c>
      <c r="F132" s="103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2">
        <f t="shared" si="380"/>
        <v>0</v>
      </c>
      <c r="AP132" s="17">
        <f t="shared" si="470"/>
        <v>0</v>
      </c>
      <c r="AQ132" s="12">
        <f t="shared" si="381"/>
        <v>36</v>
      </c>
      <c r="AR132" s="17"/>
      <c r="AS132" s="126">
        <f t="shared" si="311"/>
        <v>36</v>
      </c>
      <c r="AT132" s="56">
        <v>36</v>
      </c>
      <c r="AU132" s="50"/>
      <c r="AV132" s="12"/>
      <c r="AW132" s="12"/>
      <c r="AX132" s="12"/>
      <c r="AY132" s="12">
        <f t="shared" si="383"/>
        <v>0</v>
      </c>
      <c r="AZ132" s="12">
        <f t="shared" si="384"/>
        <v>0</v>
      </c>
      <c r="BA132" s="12">
        <f t="shared" si="385"/>
        <v>0</v>
      </c>
      <c r="BB132" s="12">
        <f t="shared" si="386"/>
        <v>0</v>
      </c>
      <c r="BC132" s="12">
        <f t="shared" si="387"/>
        <v>0</v>
      </c>
      <c r="BD132" s="12">
        <f t="shared" si="388"/>
        <v>0</v>
      </c>
      <c r="BE132" s="12">
        <f t="shared" si="389"/>
        <v>0</v>
      </c>
      <c r="BF132" s="12">
        <f t="shared" si="390"/>
        <v>0</v>
      </c>
      <c r="BG132" s="12">
        <f t="shared" si="391"/>
        <v>0</v>
      </c>
      <c r="BH132" s="12">
        <f t="shared" si="392"/>
        <v>0</v>
      </c>
      <c r="BI132" s="12">
        <f t="shared" si="393"/>
        <v>0</v>
      </c>
      <c r="BJ132" s="12">
        <f t="shared" si="394"/>
        <v>0</v>
      </c>
      <c r="BK132" s="12">
        <f t="shared" si="395"/>
        <v>0</v>
      </c>
      <c r="BL132" s="12">
        <f t="shared" si="396"/>
        <v>0</v>
      </c>
      <c r="BM132" s="12">
        <f t="shared" si="397"/>
        <v>0</v>
      </c>
      <c r="BN132" s="12">
        <f t="shared" si="398"/>
        <v>0</v>
      </c>
      <c r="BO132" s="12">
        <f t="shared" si="399"/>
        <v>0</v>
      </c>
      <c r="BP132" s="12">
        <f t="shared" si="400"/>
        <v>0</v>
      </c>
      <c r="BQ132" s="12">
        <f t="shared" si="401"/>
        <v>0</v>
      </c>
      <c r="BR132" s="12">
        <f t="shared" si="402"/>
        <v>0</v>
      </c>
      <c r="BS132" s="12">
        <f t="shared" si="403"/>
        <v>0</v>
      </c>
      <c r="BT132" s="12">
        <f t="shared" si="404"/>
        <v>0</v>
      </c>
      <c r="BU132" s="12">
        <f t="shared" si="405"/>
        <v>0</v>
      </c>
      <c r="BV132" s="12">
        <f t="shared" si="406"/>
        <v>0</v>
      </c>
      <c r="BW132" s="12">
        <f t="shared" si="407"/>
        <v>0</v>
      </c>
      <c r="BX132" s="12">
        <f t="shared" si="408"/>
        <v>0</v>
      </c>
      <c r="BY132" s="12">
        <f t="shared" si="409"/>
        <v>0</v>
      </c>
      <c r="BZ132" s="12">
        <f t="shared" si="410"/>
        <v>0</v>
      </c>
      <c r="CA132" s="12">
        <f t="shared" si="411"/>
        <v>0</v>
      </c>
      <c r="CB132" s="12">
        <f t="shared" si="412"/>
        <v>0</v>
      </c>
      <c r="CC132" s="12">
        <f t="shared" si="413"/>
        <v>0</v>
      </c>
      <c r="CD132" s="12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2"/>
      <c r="CQ132" s="17"/>
      <c r="CR132" s="17"/>
      <c r="CS132" s="17"/>
      <c r="CT132" s="17"/>
      <c r="CU132" s="17"/>
      <c r="CV132" s="12"/>
      <c r="CW132" s="17"/>
      <c r="CX132" s="17"/>
      <c r="CY132" s="17"/>
      <c r="CZ132" s="17"/>
      <c r="DA132" s="17"/>
      <c r="DB132" s="17"/>
      <c r="DC132" s="17"/>
      <c r="DD132" s="17"/>
      <c r="DE132" s="12"/>
      <c r="DF132" s="17"/>
      <c r="DG132" s="17"/>
      <c r="DH132" s="17"/>
      <c r="DI132" s="36">
        <f>(AT132+SUM(AU132:AX132)*12+SUM(AY132:CC132)-SUM(CD132:DH132))</f>
        <v>36</v>
      </c>
      <c r="DJ132" s="12">
        <f>DI132</f>
        <v>36</v>
      </c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</row>
    <row r="133" spans="1:124" ht="14.25" customHeight="1">
      <c r="A133" s="12">
        <v>129</v>
      </c>
      <c r="B133" s="67" t="s">
        <v>378</v>
      </c>
      <c r="C133" s="14"/>
      <c r="D133" s="119"/>
      <c r="E133" s="56">
        <v>0</v>
      </c>
      <c r="F133" s="103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2">
        <f t="shared" si="380"/>
        <v>0</v>
      </c>
      <c r="AP133" s="17">
        <f>AO133*100</f>
        <v>0</v>
      </c>
      <c r="AQ133" s="12">
        <f t="shared" si="381"/>
        <v>24</v>
      </c>
      <c r="AR133" s="17"/>
      <c r="AS133" s="126">
        <f t="shared" si="311"/>
        <v>24</v>
      </c>
      <c r="AT133" s="56">
        <v>24</v>
      </c>
      <c r="AU133" s="50"/>
      <c r="AV133" s="12"/>
      <c r="AW133" s="12"/>
      <c r="AX133" s="12"/>
      <c r="AY133" s="12">
        <f t="shared" si="383"/>
        <v>0</v>
      </c>
      <c r="AZ133" s="12">
        <f t="shared" si="384"/>
        <v>0</v>
      </c>
      <c r="BA133" s="12">
        <f t="shared" si="385"/>
        <v>0</v>
      </c>
      <c r="BB133" s="12">
        <f t="shared" si="386"/>
        <v>0</v>
      </c>
      <c r="BC133" s="12">
        <f t="shared" si="387"/>
        <v>0</v>
      </c>
      <c r="BD133" s="12">
        <f t="shared" si="388"/>
        <v>0</v>
      </c>
      <c r="BE133" s="12">
        <f t="shared" si="389"/>
        <v>0</v>
      </c>
      <c r="BF133" s="12">
        <f t="shared" si="390"/>
        <v>0</v>
      </c>
      <c r="BG133" s="12">
        <f t="shared" si="391"/>
        <v>0</v>
      </c>
      <c r="BH133" s="12">
        <f t="shared" si="392"/>
        <v>0</v>
      </c>
      <c r="BI133" s="12">
        <f t="shared" si="393"/>
        <v>0</v>
      </c>
      <c r="BJ133" s="12">
        <f t="shared" si="394"/>
        <v>0</v>
      </c>
      <c r="BK133" s="12">
        <f t="shared" si="395"/>
        <v>0</v>
      </c>
      <c r="BL133" s="12">
        <f t="shared" si="396"/>
        <v>0</v>
      </c>
      <c r="BM133" s="12">
        <f t="shared" si="397"/>
        <v>0</v>
      </c>
      <c r="BN133" s="12">
        <f t="shared" si="398"/>
        <v>0</v>
      </c>
      <c r="BO133" s="12">
        <f t="shared" si="399"/>
        <v>0</v>
      </c>
      <c r="BP133" s="12">
        <f t="shared" si="400"/>
        <v>0</v>
      </c>
      <c r="BQ133" s="12">
        <f t="shared" si="401"/>
        <v>0</v>
      </c>
      <c r="BR133" s="12">
        <f t="shared" si="402"/>
        <v>0</v>
      </c>
      <c r="BS133" s="12">
        <f t="shared" si="403"/>
        <v>0</v>
      </c>
      <c r="BT133" s="12">
        <f t="shared" si="404"/>
        <v>0</v>
      </c>
      <c r="BU133" s="12">
        <f t="shared" si="405"/>
        <v>0</v>
      </c>
      <c r="BV133" s="12">
        <f t="shared" si="406"/>
        <v>0</v>
      </c>
      <c r="BW133" s="12">
        <f t="shared" si="407"/>
        <v>0</v>
      </c>
      <c r="BX133" s="12">
        <f t="shared" si="408"/>
        <v>0</v>
      </c>
      <c r="BY133" s="12">
        <f t="shared" si="409"/>
        <v>0</v>
      </c>
      <c r="BZ133" s="12">
        <f t="shared" si="410"/>
        <v>0</v>
      </c>
      <c r="CA133" s="12">
        <f t="shared" si="411"/>
        <v>0</v>
      </c>
      <c r="CB133" s="12">
        <f t="shared" si="412"/>
        <v>0</v>
      </c>
      <c r="CC133" s="12">
        <f t="shared" si="413"/>
        <v>0</v>
      </c>
      <c r="CD133" s="12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2"/>
      <c r="CQ133" s="17"/>
      <c r="CR133" s="17"/>
      <c r="CS133" s="17"/>
      <c r="CT133" s="17"/>
      <c r="CU133" s="17"/>
      <c r="CV133" s="12"/>
      <c r="CW133" s="17"/>
      <c r="CX133" s="17"/>
      <c r="CY133" s="17"/>
      <c r="CZ133" s="17"/>
      <c r="DA133" s="17"/>
      <c r="DB133" s="17"/>
      <c r="DC133" s="17"/>
      <c r="DD133" s="17"/>
      <c r="DE133" s="12"/>
      <c r="DF133" s="17"/>
      <c r="DG133" s="17"/>
      <c r="DH133" s="17"/>
      <c r="DI133" s="36">
        <f>(AT133+SUM(AU133:AX133)*24+SUM(AY133:CC133)-SUM(CD133:DH133))</f>
        <v>24</v>
      </c>
      <c r="DJ133" s="12">
        <f>DI133</f>
        <v>24</v>
      </c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</row>
    <row r="134" spans="1:124" ht="14.25" customHeight="1">
      <c r="A134" s="12">
        <v>130</v>
      </c>
      <c r="B134" s="26" t="s">
        <v>166</v>
      </c>
      <c r="C134" s="14"/>
      <c r="D134" s="100" t="s">
        <v>105</v>
      </c>
      <c r="E134" s="56">
        <v>30</v>
      </c>
      <c r="F134" s="103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2">
        <f t="shared" si="380"/>
        <v>30</v>
      </c>
      <c r="AP134" s="17">
        <f>AO134*1000</f>
        <v>30000</v>
      </c>
      <c r="AQ134" s="12">
        <f t="shared" si="381"/>
        <v>36000</v>
      </c>
      <c r="AR134" s="17"/>
      <c r="AS134" s="126">
        <f t="shared" si="311"/>
        <v>6</v>
      </c>
      <c r="AT134" s="56">
        <v>7</v>
      </c>
      <c r="AU134" s="50"/>
      <c r="AV134" s="12"/>
      <c r="AW134" s="12"/>
      <c r="AX134" s="12"/>
      <c r="AY134" s="12">
        <f t="shared" si="383"/>
        <v>0</v>
      </c>
      <c r="AZ134" s="12">
        <f t="shared" si="384"/>
        <v>0</v>
      </c>
      <c r="BA134" s="12">
        <f t="shared" si="385"/>
        <v>0</v>
      </c>
      <c r="BB134" s="12">
        <f t="shared" si="386"/>
        <v>0</v>
      </c>
      <c r="BC134" s="12">
        <f t="shared" si="387"/>
        <v>0</v>
      </c>
      <c r="BD134" s="12">
        <f t="shared" si="388"/>
        <v>0</v>
      </c>
      <c r="BE134" s="12">
        <f t="shared" si="389"/>
        <v>0</v>
      </c>
      <c r="BF134" s="12">
        <f t="shared" si="390"/>
        <v>0</v>
      </c>
      <c r="BG134" s="12">
        <f t="shared" si="391"/>
        <v>0</v>
      </c>
      <c r="BH134" s="12">
        <f t="shared" si="392"/>
        <v>0</v>
      </c>
      <c r="BI134" s="12">
        <f t="shared" si="393"/>
        <v>0</v>
      </c>
      <c r="BJ134" s="12">
        <f t="shared" si="394"/>
        <v>0</v>
      </c>
      <c r="BK134" s="12">
        <f t="shared" si="395"/>
        <v>0</v>
      </c>
      <c r="BL134" s="12">
        <f t="shared" si="396"/>
        <v>0</v>
      </c>
      <c r="BM134" s="12">
        <f t="shared" si="397"/>
        <v>0</v>
      </c>
      <c r="BN134" s="12">
        <f t="shared" si="398"/>
        <v>0</v>
      </c>
      <c r="BO134" s="12">
        <f t="shared" si="399"/>
        <v>0</v>
      </c>
      <c r="BP134" s="12">
        <f t="shared" si="400"/>
        <v>0</v>
      </c>
      <c r="BQ134" s="12">
        <f t="shared" si="401"/>
        <v>0</v>
      </c>
      <c r="BR134" s="12">
        <f t="shared" si="402"/>
        <v>0</v>
      </c>
      <c r="BS134" s="12">
        <f t="shared" si="403"/>
        <v>0</v>
      </c>
      <c r="BT134" s="12">
        <f t="shared" si="404"/>
        <v>0</v>
      </c>
      <c r="BU134" s="12">
        <f t="shared" si="405"/>
        <v>0</v>
      </c>
      <c r="BV134" s="12">
        <f t="shared" si="406"/>
        <v>0</v>
      </c>
      <c r="BW134" s="12">
        <f t="shared" si="407"/>
        <v>0</v>
      </c>
      <c r="BX134" s="12">
        <f t="shared" si="408"/>
        <v>0</v>
      </c>
      <c r="BY134" s="12">
        <f t="shared" si="409"/>
        <v>0</v>
      </c>
      <c r="BZ134" s="12">
        <f t="shared" si="410"/>
        <v>0</v>
      </c>
      <c r="CA134" s="12">
        <f t="shared" si="411"/>
        <v>0</v>
      </c>
      <c r="CB134" s="12">
        <f t="shared" si="412"/>
        <v>0</v>
      </c>
      <c r="CC134" s="12">
        <f t="shared" si="413"/>
        <v>0</v>
      </c>
      <c r="CD134" s="12"/>
      <c r="CE134" s="17"/>
      <c r="CF134" s="17"/>
      <c r="CG134" s="17">
        <v>1</v>
      </c>
      <c r="CH134" s="17"/>
      <c r="CI134" s="17"/>
      <c r="CJ134" s="17"/>
      <c r="CK134" s="17"/>
      <c r="CL134" s="17"/>
      <c r="CM134" s="17"/>
      <c r="CN134" s="17"/>
      <c r="CO134" s="17"/>
      <c r="CP134" s="12"/>
      <c r="CQ134" s="17"/>
      <c r="CR134" s="17"/>
      <c r="CS134" s="17"/>
      <c r="CT134" s="17"/>
      <c r="CU134" s="17"/>
      <c r="CV134" s="12"/>
      <c r="CW134" s="17"/>
      <c r="CX134" s="17"/>
      <c r="CY134" s="17"/>
      <c r="CZ134" s="17"/>
      <c r="DA134" s="17"/>
      <c r="DB134" s="17"/>
      <c r="DC134" s="17"/>
      <c r="DD134" s="17"/>
      <c r="DE134" s="12"/>
      <c r="DF134" s="17"/>
      <c r="DG134" s="17"/>
      <c r="DH134" s="17"/>
      <c r="DI134" s="36">
        <f>(AT134+SUM(AU134:AX134)+SUM(AY134:CC134)-SUM(CD134:DH134))</f>
        <v>6</v>
      </c>
      <c r="DJ134" s="12">
        <f>DI134*1000</f>
        <v>6000</v>
      </c>
      <c r="DK134" s="12">
        <f t="shared" ref="DK134:DK173" si="477">SUM(CD134:CJ134)</f>
        <v>1</v>
      </c>
      <c r="DL134" s="12">
        <f>DK134*1000</f>
        <v>1000</v>
      </c>
      <c r="DM134" s="12">
        <f t="shared" ref="DM134:DM173" si="478">SUM(CK134:CQ134)</f>
        <v>0</v>
      </c>
      <c r="DN134" s="12">
        <f>DM134*1000</f>
        <v>0</v>
      </c>
      <c r="DO134" s="12">
        <f t="shared" ref="DO134:DO173" si="479">SUM(CR134:CX134)</f>
        <v>0</v>
      </c>
      <c r="DP134" s="12">
        <f>DO134*1000</f>
        <v>0</v>
      </c>
      <c r="DQ134" s="12">
        <f t="shared" ref="DQ134:DQ173" si="480">SUM(CY134:DH134)</f>
        <v>0</v>
      </c>
      <c r="DR134" s="12">
        <f>DQ134*1000</f>
        <v>0</v>
      </c>
      <c r="DS134" s="12">
        <f t="shared" ref="DS134:DS173" si="481">DK134+DM134+DO134+DQ134</f>
        <v>1</v>
      </c>
      <c r="DT134" s="12">
        <f>DS134*1000</f>
        <v>1000</v>
      </c>
    </row>
    <row r="135" spans="1:124" ht="14.25" customHeight="1">
      <c r="A135" s="12">
        <v>131</v>
      </c>
      <c r="B135" s="26" t="s">
        <v>167</v>
      </c>
      <c r="C135" s="14"/>
      <c r="D135" s="100" t="s">
        <v>105</v>
      </c>
      <c r="E135" s="56">
        <v>3</v>
      </c>
      <c r="F135" s="103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2">
        <f t="shared" si="380"/>
        <v>3</v>
      </c>
      <c r="AP135" s="17">
        <f t="shared" ref="AP135:AP136" si="482">AO135*100</f>
        <v>300</v>
      </c>
      <c r="AQ135" s="12">
        <f t="shared" si="381"/>
        <v>600</v>
      </c>
      <c r="AR135" s="17"/>
      <c r="AS135" s="126">
        <f t="shared" si="311"/>
        <v>3</v>
      </c>
      <c r="AT135" s="56">
        <v>3</v>
      </c>
      <c r="AU135" s="50"/>
      <c r="AV135" s="12"/>
      <c r="AW135" s="12"/>
      <c r="AX135" s="12"/>
      <c r="AY135" s="12">
        <f t="shared" si="383"/>
        <v>0</v>
      </c>
      <c r="AZ135" s="12">
        <f t="shared" si="384"/>
        <v>0</v>
      </c>
      <c r="BA135" s="12">
        <f t="shared" si="385"/>
        <v>0</v>
      </c>
      <c r="BB135" s="12">
        <f t="shared" si="386"/>
        <v>0</v>
      </c>
      <c r="BC135" s="12">
        <f t="shared" si="387"/>
        <v>0</v>
      </c>
      <c r="BD135" s="12">
        <f t="shared" si="388"/>
        <v>0</v>
      </c>
      <c r="BE135" s="12">
        <f t="shared" si="389"/>
        <v>0</v>
      </c>
      <c r="BF135" s="12">
        <f t="shared" si="390"/>
        <v>0</v>
      </c>
      <c r="BG135" s="12">
        <f t="shared" si="391"/>
        <v>0</v>
      </c>
      <c r="BH135" s="12">
        <f t="shared" si="392"/>
        <v>0</v>
      </c>
      <c r="BI135" s="12">
        <f t="shared" si="393"/>
        <v>0</v>
      </c>
      <c r="BJ135" s="12">
        <f t="shared" si="394"/>
        <v>0</v>
      </c>
      <c r="BK135" s="12">
        <f t="shared" si="395"/>
        <v>0</v>
      </c>
      <c r="BL135" s="12">
        <f t="shared" si="396"/>
        <v>0</v>
      </c>
      <c r="BM135" s="12">
        <f t="shared" si="397"/>
        <v>0</v>
      </c>
      <c r="BN135" s="12">
        <f t="shared" si="398"/>
        <v>0</v>
      </c>
      <c r="BO135" s="12">
        <f t="shared" si="399"/>
        <v>0</v>
      </c>
      <c r="BP135" s="12">
        <f t="shared" si="400"/>
        <v>0</v>
      </c>
      <c r="BQ135" s="12">
        <f t="shared" si="401"/>
        <v>0</v>
      </c>
      <c r="BR135" s="12">
        <f t="shared" si="402"/>
        <v>0</v>
      </c>
      <c r="BS135" s="12">
        <f t="shared" si="403"/>
        <v>0</v>
      </c>
      <c r="BT135" s="12">
        <f t="shared" si="404"/>
        <v>0</v>
      </c>
      <c r="BU135" s="12">
        <f t="shared" si="405"/>
        <v>0</v>
      </c>
      <c r="BV135" s="12">
        <f t="shared" si="406"/>
        <v>0</v>
      </c>
      <c r="BW135" s="12">
        <f t="shared" si="407"/>
        <v>0</v>
      </c>
      <c r="BX135" s="12">
        <f t="shared" si="408"/>
        <v>0</v>
      </c>
      <c r="BY135" s="12">
        <f t="shared" si="409"/>
        <v>0</v>
      </c>
      <c r="BZ135" s="12">
        <f t="shared" si="410"/>
        <v>0</v>
      </c>
      <c r="CA135" s="12">
        <f t="shared" si="411"/>
        <v>0</v>
      </c>
      <c r="CB135" s="12">
        <f t="shared" si="412"/>
        <v>0</v>
      </c>
      <c r="CC135" s="12">
        <f t="shared" si="413"/>
        <v>0</v>
      </c>
      <c r="CD135" s="12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2"/>
      <c r="CQ135" s="17"/>
      <c r="CR135" s="17"/>
      <c r="CS135" s="17"/>
      <c r="CT135" s="17"/>
      <c r="CU135" s="17"/>
      <c r="CV135" s="12"/>
      <c r="CW135" s="17"/>
      <c r="CX135" s="17"/>
      <c r="CY135" s="17"/>
      <c r="CZ135" s="17"/>
      <c r="DA135" s="17"/>
      <c r="DB135" s="17"/>
      <c r="DC135" s="17"/>
      <c r="DD135" s="17"/>
      <c r="DE135" s="12"/>
      <c r="DF135" s="17"/>
      <c r="DG135" s="17"/>
      <c r="DH135" s="17"/>
      <c r="DI135" s="36">
        <f>(AT135+SUM(AU135:AX135)*1000+SUM(AY135:CC135)-SUM(CD135:DH135))</f>
        <v>3</v>
      </c>
      <c r="DJ135" s="12">
        <f t="shared" ref="DJ135" si="483">DI135*100</f>
        <v>300</v>
      </c>
      <c r="DK135" s="12">
        <f t="shared" si="477"/>
        <v>0</v>
      </c>
      <c r="DL135" s="12">
        <f t="shared" ref="DL135:DL136" si="484">DK135*100</f>
        <v>0</v>
      </c>
      <c r="DM135" s="12">
        <f t="shared" si="478"/>
        <v>0</v>
      </c>
      <c r="DN135" s="12">
        <f t="shared" ref="DN135:DN136" si="485">DM135*100</f>
        <v>0</v>
      </c>
      <c r="DO135" s="12">
        <f t="shared" si="479"/>
        <v>0</v>
      </c>
      <c r="DP135" s="12">
        <f t="shared" ref="DP135:DP136" si="486">DO135*100</f>
        <v>0</v>
      </c>
      <c r="DQ135" s="12">
        <f t="shared" si="480"/>
        <v>0</v>
      </c>
      <c r="DR135" s="12">
        <f t="shared" ref="DR135:DR136" si="487">DQ135*100</f>
        <v>0</v>
      </c>
      <c r="DS135" s="12">
        <f t="shared" si="481"/>
        <v>0</v>
      </c>
      <c r="DT135" s="12">
        <f t="shared" ref="DT135:DT136" si="488">DS135*100</f>
        <v>0</v>
      </c>
    </row>
    <row r="136" spans="1:124" ht="14.25" customHeight="1">
      <c r="A136" s="12">
        <v>132</v>
      </c>
      <c r="B136" s="67" t="s">
        <v>376</v>
      </c>
      <c r="C136" s="14"/>
      <c r="D136" s="119"/>
      <c r="E136" s="56">
        <v>0</v>
      </c>
      <c r="F136" s="103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2">
        <f t="shared" si="380"/>
        <v>0</v>
      </c>
      <c r="AP136" s="17">
        <f t="shared" si="482"/>
        <v>0</v>
      </c>
      <c r="AQ136" s="12">
        <f t="shared" si="381"/>
        <v>10</v>
      </c>
      <c r="AR136" s="17"/>
      <c r="AS136" s="126">
        <f t="shared" si="311"/>
        <v>10</v>
      </c>
      <c r="AT136" s="56">
        <v>10</v>
      </c>
      <c r="AU136" s="50"/>
      <c r="AV136" s="12"/>
      <c r="AW136" s="12"/>
      <c r="AX136" s="12"/>
      <c r="AY136" s="12">
        <f t="shared" si="383"/>
        <v>0</v>
      </c>
      <c r="AZ136" s="12">
        <f t="shared" si="384"/>
        <v>0</v>
      </c>
      <c r="BA136" s="12">
        <f t="shared" si="385"/>
        <v>0</v>
      </c>
      <c r="BB136" s="12">
        <f t="shared" si="386"/>
        <v>0</v>
      </c>
      <c r="BC136" s="12">
        <f t="shared" si="387"/>
        <v>0</v>
      </c>
      <c r="BD136" s="12">
        <f t="shared" si="388"/>
        <v>0</v>
      </c>
      <c r="BE136" s="12">
        <f t="shared" si="389"/>
        <v>0</v>
      </c>
      <c r="BF136" s="12">
        <f t="shared" si="390"/>
        <v>0</v>
      </c>
      <c r="BG136" s="12">
        <f t="shared" si="391"/>
        <v>0</v>
      </c>
      <c r="BH136" s="12">
        <f t="shared" si="392"/>
        <v>0</v>
      </c>
      <c r="BI136" s="12">
        <f t="shared" si="393"/>
        <v>0</v>
      </c>
      <c r="BJ136" s="12">
        <f t="shared" si="394"/>
        <v>0</v>
      </c>
      <c r="BK136" s="12">
        <f t="shared" si="395"/>
        <v>0</v>
      </c>
      <c r="BL136" s="12">
        <f t="shared" si="396"/>
        <v>0</v>
      </c>
      <c r="BM136" s="12">
        <f t="shared" si="397"/>
        <v>0</v>
      </c>
      <c r="BN136" s="12">
        <f t="shared" si="398"/>
        <v>0</v>
      </c>
      <c r="BO136" s="12">
        <f t="shared" si="399"/>
        <v>0</v>
      </c>
      <c r="BP136" s="12">
        <f t="shared" si="400"/>
        <v>0</v>
      </c>
      <c r="BQ136" s="12">
        <f t="shared" si="401"/>
        <v>0</v>
      </c>
      <c r="BR136" s="12">
        <f t="shared" si="402"/>
        <v>0</v>
      </c>
      <c r="BS136" s="12">
        <f t="shared" si="403"/>
        <v>0</v>
      </c>
      <c r="BT136" s="12">
        <f t="shared" si="404"/>
        <v>0</v>
      </c>
      <c r="BU136" s="12">
        <f t="shared" si="405"/>
        <v>0</v>
      </c>
      <c r="BV136" s="12">
        <f t="shared" si="406"/>
        <v>0</v>
      </c>
      <c r="BW136" s="12">
        <f t="shared" si="407"/>
        <v>0</v>
      </c>
      <c r="BX136" s="12">
        <f t="shared" si="408"/>
        <v>0</v>
      </c>
      <c r="BY136" s="12">
        <f t="shared" si="409"/>
        <v>0</v>
      </c>
      <c r="BZ136" s="12">
        <f t="shared" si="410"/>
        <v>0</v>
      </c>
      <c r="CA136" s="12">
        <f t="shared" si="411"/>
        <v>0</v>
      </c>
      <c r="CB136" s="12">
        <f t="shared" si="412"/>
        <v>0</v>
      </c>
      <c r="CC136" s="12">
        <f t="shared" si="413"/>
        <v>0</v>
      </c>
      <c r="CD136" s="12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2"/>
      <c r="CQ136" s="17"/>
      <c r="CR136" s="17"/>
      <c r="CS136" s="17"/>
      <c r="CT136" s="17"/>
      <c r="CU136" s="17"/>
      <c r="CV136" s="12"/>
      <c r="CW136" s="17"/>
      <c r="CX136" s="17"/>
      <c r="CY136" s="17"/>
      <c r="CZ136" s="17"/>
      <c r="DA136" s="17"/>
      <c r="DB136" s="17"/>
      <c r="DC136" s="17"/>
      <c r="DD136" s="17"/>
      <c r="DE136" s="12"/>
      <c r="DF136" s="17"/>
      <c r="DG136" s="17"/>
      <c r="DH136" s="17"/>
      <c r="DI136" s="36">
        <f>(AT136+SUM(AU136:AX136)*10+SUM(AY136:CC136)-SUM(CD136:DH136))</f>
        <v>10</v>
      </c>
      <c r="DJ136" s="12">
        <f>DI136</f>
        <v>10</v>
      </c>
      <c r="DK136" s="12">
        <f t="shared" si="477"/>
        <v>0</v>
      </c>
      <c r="DL136" s="12">
        <f t="shared" si="484"/>
        <v>0</v>
      </c>
      <c r="DM136" s="12">
        <f t="shared" si="478"/>
        <v>0</v>
      </c>
      <c r="DN136" s="12">
        <f t="shared" si="485"/>
        <v>0</v>
      </c>
      <c r="DO136" s="12">
        <f t="shared" si="479"/>
        <v>0</v>
      </c>
      <c r="DP136" s="12">
        <f t="shared" si="486"/>
        <v>0</v>
      </c>
      <c r="DQ136" s="12">
        <f t="shared" si="480"/>
        <v>0</v>
      </c>
      <c r="DR136" s="12">
        <f t="shared" si="487"/>
        <v>0</v>
      </c>
      <c r="DS136" s="12">
        <f t="shared" si="481"/>
        <v>0</v>
      </c>
      <c r="DT136" s="12">
        <f t="shared" si="488"/>
        <v>0</v>
      </c>
    </row>
    <row r="137" spans="1:124" ht="14.25" customHeight="1">
      <c r="A137" s="12">
        <v>133</v>
      </c>
      <c r="B137" s="26" t="s">
        <v>168</v>
      </c>
      <c r="C137" s="14"/>
      <c r="D137" s="100" t="s">
        <v>105</v>
      </c>
      <c r="E137" s="56">
        <v>2</v>
      </c>
      <c r="F137" s="103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2">
        <f>(E137+F137+G137+H137+I137-J137-K137-L137-M137-N137-O137-P137-Q137-R137-S137-T137-U137-V137-W137-X137-Y137-Z137-AA137-AB137-AC137-AD137-AE137-AF137-AG137-AH137-AI137-AJ137-AK137-AL137-AM137-AN137)</f>
        <v>2</v>
      </c>
      <c r="AP137" s="17">
        <f>AO137*5000</f>
        <v>10000</v>
      </c>
      <c r="AQ137" s="12">
        <f t="shared" si="381"/>
        <v>14000</v>
      </c>
      <c r="AR137" s="17"/>
      <c r="AS137" s="126">
        <f t="shared" si="311"/>
        <v>16</v>
      </c>
      <c r="AT137" s="56">
        <v>20</v>
      </c>
      <c r="AU137" s="50"/>
      <c r="AV137" s="12"/>
      <c r="AW137" s="12"/>
      <c r="AX137" s="12"/>
      <c r="AY137" s="12">
        <f>J137*20</f>
        <v>0</v>
      </c>
      <c r="AZ137" s="12">
        <f t="shared" ref="AZ137:CC137" si="489">K137*20</f>
        <v>0</v>
      </c>
      <c r="BA137" s="12">
        <f t="shared" si="489"/>
        <v>0</v>
      </c>
      <c r="BB137" s="12">
        <f t="shared" si="489"/>
        <v>0</v>
      </c>
      <c r="BC137" s="12">
        <f t="shared" si="489"/>
        <v>0</v>
      </c>
      <c r="BD137" s="12">
        <f t="shared" si="489"/>
        <v>0</v>
      </c>
      <c r="BE137" s="12">
        <f t="shared" si="489"/>
        <v>0</v>
      </c>
      <c r="BF137" s="12">
        <f t="shared" si="489"/>
        <v>0</v>
      </c>
      <c r="BG137" s="12">
        <f t="shared" si="489"/>
        <v>0</v>
      </c>
      <c r="BH137" s="12">
        <f t="shared" si="489"/>
        <v>0</v>
      </c>
      <c r="BI137" s="12">
        <f t="shared" si="489"/>
        <v>0</v>
      </c>
      <c r="BJ137" s="12">
        <f t="shared" si="489"/>
        <v>0</v>
      </c>
      <c r="BK137" s="12">
        <f t="shared" si="489"/>
        <v>0</v>
      </c>
      <c r="BL137" s="12">
        <f t="shared" si="489"/>
        <v>0</v>
      </c>
      <c r="BM137" s="12">
        <f t="shared" si="489"/>
        <v>0</v>
      </c>
      <c r="BN137" s="12">
        <f t="shared" si="489"/>
        <v>0</v>
      </c>
      <c r="BO137" s="12">
        <f t="shared" si="489"/>
        <v>0</v>
      </c>
      <c r="BP137" s="12">
        <f t="shared" si="489"/>
        <v>0</v>
      </c>
      <c r="BQ137" s="12">
        <f t="shared" si="489"/>
        <v>0</v>
      </c>
      <c r="BR137" s="12">
        <f t="shared" si="489"/>
        <v>0</v>
      </c>
      <c r="BS137" s="12">
        <f t="shared" si="489"/>
        <v>0</v>
      </c>
      <c r="BT137" s="12">
        <f t="shared" si="489"/>
        <v>0</v>
      </c>
      <c r="BU137" s="12">
        <f t="shared" si="489"/>
        <v>0</v>
      </c>
      <c r="BV137" s="12">
        <f t="shared" si="489"/>
        <v>0</v>
      </c>
      <c r="BW137" s="12">
        <f t="shared" si="489"/>
        <v>0</v>
      </c>
      <c r="BX137" s="12">
        <f t="shared" si="489"/>
        <v>0</v>
      </c>
      <c r="BY137" s="12">
        <f t="shared" si="489"/>
        <v>0</v>
      </c>
      <c r="BZ137" s="12">
        <f t="shared" si="489"/>
        <v>0</v>
      </c>
      <c r="CA137" s="12">
        <f t="shared" si="489"/>
        <v>0</v>
      </c>
      <c r="CB137" s="12">
        <f t="shared" si="489"/>
        <v>0</v>
      </c>
      <c r="CC137" s="12">
        <f t="shared" si="489"/>
        <v>0</v>
      </c>
      <c r="CD137" s="12"/>
      <c r="CE137" s="17"/>
      <c r="CF137" s="17"/>
      <c r="CG137" s="17"/>
      <c r="CH137" s="17"/>
      <c r="CI137" s="17">
        <v>4</v>
      </c>
      <c r="CJ137" s="17"/>
      <c r="CK137" s="17"/>
      <c r="CL137" s="17"/>
      <c r="CM137" s="17"/>
      <c r="CN137" s="17"/>
      <c r="CO137" s="17"/>
      <c r="CP137" s="12"/>
      <c r="CQ137" s="17"/>
      <c r="CR137" s="17"/>
      <c r="CS137" s="17"/>
      <c r="CT137" s="17"/>
      <c r="CU137" s="17"/>
      <c r="CV137" s="12"/>
      <c r="CW137" s="17"/>
      <c r="CX137" s="17"/>
      <c r="CY137" s="17"/>
      <c r="CZ137" s="17"/>
      <c r="DA137" s="17"/>
      <c r="DB137" s="17"/>
      <c r="DC137" s="17"/>
      <c r="DD137" s="17"/>
      <c r="DE137" s="12"/>
      <c r="DF137" s="17"/>
      <c r="DG137" s="17"/>
      <c r="DH137" s="17"/>
      <c r="DI137" s="36">
        <f>(AT137+SUM(AU137:AX137)*20+SUM(AY137:CC137)-SUM(CD137:DH137))</f>
        <v>16</v>
      </c>
      <c r="DJ137" s="12">
        <f>DI137*250</f>
        <v>4000</v>
      </c>
      <c r="DK137" s="12">
        <f t="shared" si="477"/>
        <v>4</v>
      </c>
      <c r="DL137" s="12">
        <f>DK137*250</f>
        <v>1000</v>
      </c>
      <c r="DM137" s="12">
        <f t="shared" si="478"/>
        <v>0</v>
      </c>
      <c r="DN137" s="12">
        <f>DM137*250</f>
        <v>0</v>
      </c>
      <c r="DO137" s="12">
        <f t="shared" si="479"/>
        <v>0</v>
      </c>
      <c r="DP137" s="12">
        <f>DO137*250</f>
        <v>0</v>
      </c>
      <c r="DQ137" s="12">
        <f t="shared" si="480"/>
        <v>0</v>
      </c>
      <c r="DR137" s="12">
        <f>DQ137*250</f>
        <v>0</v>
      </c>
      <c r="DS137" s="12">
        <f t="shared" si="481"/>
        <v>4</v>
      </c>
      <c r="DT137" s="12">
        <f>DS137*250</f>
        <v>1000</v>
      </c>
    </row>
    <row r="138" spans="1:124" ht="14.25" customHeight="1">
      <c r="A138" s="12">
        <v>134</v>
      </c>
      <c r="B138" s="26" t="s">
        <v>169</v>
      </c>
      <c r="C138" s="14"/>
      <c r="D138" s="100" t="s">
        <v>105</v>
      </c>
      <c r="E138" s="56">
        <v>2</v>
      </c>
      <c r="F138" s="103"/>
      <c r="G138" s="17">
        <v>2</v>
      </c>
      <c r="H138" s="17"/>
      <c r="I138" s="17"/>
      <c r="J138" s="17">
        <v>1</v>
      </c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>
        <v>2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2">
        <f>(E138+F138+G138+H138+I138-J138-K138-L138-M138-N138-O138-P138-Q138-R138-S138-T138-U138-V138-W138-X138-Y138-Z138-AA138-AB138-AC138-AD138-AE138-AF138-AG138-AH138-AI138-AJ138-AK138-AL138-AM138-AN138)</f>
        <v>1</v>
      </c>
      <c r="AP138" s="17">
        <f>AO138*5000</f>
        <v>5000</v>
      </c>
      <c r="AQ138" s="12">
        <f t="shared" si="381"/>
        <v>19500</v>
      </c>
      <c r="AR138" s="17"/>
      <c r="AS138" s="126">
        <f t="shared" si="311"/>
        <v>29</v>
      </c>
      <c r="AT138" s="56">
        <v>7</v>
      </c>
      <c r="AU138" s="50"/>
      <c r="AV138" s="12"/>
      <c r="AW138" s="12"/>
      <c r="AX138" s="12"/>
      <c r="AY138" s="12">
        <f>J138*10</f>
        <v>10</v>
      </c>
      <c r="AZ138" s="12">
        <f t="shared" ref="AZ138:CC138" si="490">K138*10</f>
        <v>0</v>
      </c>
      <c r="BA138" s="12">
        <f t="shared" si="490"/>
        <v>0</v>
      </c>
      <c r="BB138" s="12">
        <f t="shared" si="490"/>
        <v>0</v>
      </c>
      <c r="BC138" s="12">
        <f t="shared" si="490"/>
        <v>0</v>
      </c>
      <c r="BD138" s="12">
        <f t="shared" si="490"/>
        <v>0</v>
      </c>
      <c r="BE138" s="12">
        <f t="shared" si="490"/>
        <v>0</v>
      </c>
      <c r="BF138" s="12">
        <f t="shared" si="490"/>
        <v>0</v>
      </c>
      <c r="BG138" s="12">
        <f t="shared" si="490"/>
        <v>0</v>
      </c>
      <c r="BH138" s="12">
        <f t="shared" si="490"/>
        <v>0</v>
      </c>
      <c r="BI138" s="12">
        <f t="shared" si="490"/>
        <v>0</v>
      </c>
      <c r="BJ138" s="12">
        <f t="shared" si="490"/>
        <v>0</v>
      </c>
      <c r="BK138" s="12">
        <f t="shared" si="490"/>
        <v>0</v>
      </c>
      <c r="BL138" s="12">
        <f t="shared" si="490"/>
        <v>0</v>
      </c>
      <c r="BM138" s="12">
        <f t="shared" si="490"/>
        <v>0</v>
      </c>
      <c r="BN138" s="12">
        <f t="shared" si="490"/>
        <v>0</v>
      </c>
      <c r="BO138" s="12">
        <f t="shared" si="490"/>
        <v>20</v>
      </c>
      <c r="BP138" s="12">
        <f t="shared" si="490"/>
        <v>0</v>
      </c>
      <c r="BQ138" s="12">
        <f t="shared" si="490"/>
        <v>0</v>
      </c>
      <c r="BR138" s="12">
        <f t="shared" si="490"/>
        <v>0</v>
      </c>
      <c r="BS138" s="12">
        <f t="shared" si="490"/>
        <v>0</v>
      </c>
      <c r="BT138" s="12">
        <f t="shared" si="490"/>
        <v>0</v>
      </c>
      <c r="BU138" s="12">
        <f t="shared" si="490"/>
        <v>0</v>
      </c>
      <c r="BV138" s="12">
        <f t="shared" si="490"/>
        <v>0</v>
      </c>
      <c r="BW138" s="12">
        <f t="shared" si="490"/>
        <v>0</v>
      </c>
      <c r="BX138" s="12">
        <f t="shared" si="490"/>
        <v>0</v>
      </c>
      <c r="BY138" s="12">
        <f t="shared" si="490"/>
        <v>0</v>
      </c>
      <c r="BZ138" s="12">
        <f t="shared" si="490"/>
        <v>0</v>
      </c>
      <c r="CA138" s="12">
        <f t="shared" si="490"/>
        <v>0</v>
      </c>
      <c r="CB138" s="12">
        <f t="shared" si="490"/>
        <v>0</v>
      </c>
      <c r="CC138" s="12">
        <f t="shared" si="490"/>
        <v>0</v>
      </c>
      <c r="CD138" s="12"/>
      <c r="CE138" s="17"/>
      <c r="CF138" s="17"/>
      <c r="CG138" s="17">
        <v>3</v>
      </c>
      <c r="CH138" s="17"/>
      <c r="CI138" s="17">
        <v>4</v>
      </c>
      <c r="CJ138" s="17"/>
      <c r="CK138" s="17"/>
      <c r="CL138" s="17"/>
      <c r="CM138" s="17"/>
      <c r="CN138" s="17"/>
      <c r="CO138" s="17"/>
      <c r="CP138" s="12">
        <v>1</v>
      </c>
      <c r="CQ138" s="17"/>
      <c r="CR138" s="17"/>
      <c r="CS138" s="17"/>
      <c r="CT138" s="17"/>
      <c r="CU138" s="17"/>
      <c r="CV138" s="12"/>
      <c r="CW138" s="17"/>
      <c r="CX138" s="17"/>
      <c r="CY138" s="17"/>
      <c r="CZ138" s="17"/>
      <c r="DA138" s="17"/>
      <c r="DB138" s="17"/>
      <c r="DC138" s="17"/>
      <c r="DD138" s="17"/>
      <c r="DE138" s="12"/>
      <c r="DF138" s="17"/>
      <c r="DG138" s="17"/>
      <c r="DH138" s="17"/>
      <c r="DI138" s="36">
        <f>(AT138+SUM(AU138:AX138)*10+SUM(AY138:CC138)-SUM(CD138:DH138))</f>
        <v>29</v>
      </c>
      <c r="DJ138" s="12">
        <f>DI138*500</f>
        <v>14500</v>
      </c>
      <c r="DK138" s="12">
        <f t="shared" si="477"/>
        <v>7</v>
      </c>
      <c r="DL138" s="12">
        <f>DK138*500</f>
        <v>3500</v>
      </c>
      <c r="DM138" s="12">
        <f t="shared" si="478"/>
        <v>1</v>
      </c>
      <c r="DN138" s="12">
        <f>DM138*500</f>
        <v>500</v>
      </c>
      <c r="DO138" s="12">
        <f t="shared" si="479"/>
        <v>0</v>
      </c>
      <c r="DP138" s="12">
        <f>DO138*500</f>
        <v>0</v>
      </c>
      <c r="DQ138" s="12">
        <f t="shared" si="480"/>
        <v>0</v>
      </c>
      <c r="DR138" s="12">
        <f>DQ138*500</f>
        <v>0</v>
      </c>
      <c r="DS138" s="12">
        <f t="shared" si="481"/>
        <v>8</v>
      </c>
      <c r="DT138" s="12">
        <f>DS138*500</f>
        <v>4000</v>
      </c>
    </row>
    <row r="139" spans="1:124" ht="14.25" customHeight="1">
      <c r="A139" s="12">
        <v>135</v>
      </c>
      <c r="B139" s="26" t="s">
        <v>170</v>
      </c>
      <c r="C139" s="14"/>
      <c r="D139" s="100" t="s">
        <v>105</v>
      </c>
      <c r="E139" s="56">
        <v>20</v>
      </c>
      <c r="F139" s="103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>
        <v>2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2">
        <f t="shared" si="380"/>
        <v>18</v>
      </c>
      <c r="AP139" s="17">
        <f>AO139*50</f>
        <v>900</v>
      </c>
      <c r="AQ139" s="12">
        <f t="shared" si="381"/>
        <v>1050</v>
      </c>
      <c r="AR139" s="17"/>
      <c r="AS139" s="126">
        <f t="shared" si="311"/>
        <v>3</v>
      </c>
      <c r="AT139" s="56">
        <v>2</v>
      </c>
      <c r="AU139" s="50"/>
      <c r="AV139" s="12"/>
      <c r="AW139" s="12"/>
      <c r="AX139" s="12"/>
      <c r="AY139" s="12">
        <f t="shared" si="383"/>
        <v>0</v>
      </c>
      <c r="AZ139" s="12">
        <f t="shared" si="384"/>
        <v>0</v>
      </c>
      <c r="BA139" s="12">
        <f t="shared" si="385"/>
        <v>0</v>
      </c>
      <c r="BB139" s="12">
        <f t="shared" si="386"/>
        <v>0</v>
      </c>
      <c r="BC139" s="12">
        <f t="shared" si="387"/>
        <v>0</v>
      </c>
      <c r="BD139" s="12">
        <f t="shared" si="388"/>
        <v>0</v>
      </c>
      <c r="BE139" s="12">
        <f t="shared" si="389"/>
        <v>0</v>
      </c>
      <c r="BF139" s="12">
        <f t="shared" si="390"/>
        <v>0</v>
      </c>
      <c r="BG139" s="12">
        <f t="shared" si="391"/>
        <v>0</v>
      </c>
      <c r="BH139" s="12">
        <f t="shared" si="392"/>
        <v>0</v>
      </c>
      <c r="BI139" s="12">
        <f t="shared" si="393"/>
        <v>0</v>
      </c>
      <c r="BJ139" s="12">
        <f t="shared" si="394"/>
        <v>0</v>
      </c>
      <c r="BK139" s="12">
        <f t="shared" si="395"/>
        <v>0</v>
      </c>
      <c r="BL139" s="12">
        <f t="shared" si="396"/>
        <v>0</v>
      </c>
      <c r="BM139" s="12">
        <f t="shared" si="397"/>
        <v>0</v>
      </c>
      <c r="BN139" s="12">
        <f t="shared" si="398"/>
        <v>0</v>
      </c>
      <c r="BO139" s="12">
        <f t="shared" si="399"/>
        <v>2</v>
      </c>
      <c r="BP139" s="12">
        <f t="shared" si="400"/>
        <v>0</v>
      </c>
      <c r="BQ139" s="12">
        <f t="shared" si="401"/>
        <v>0</v>
      </c>
      <c r="BR139" s="12">
        <f t="shared" si="402"/>
        <v>0</v>
      </c>
      <c r="BS139" s="12">
        <f t="shared" si="403"/>
        <v>0</v>
      </c>
      <c r="BT139" s="12">
        <f t="shared" si="404"/>
        <v>0</v>
      </c>
      <c r="BU139" s="12">
        <f t="shared" si="405"/>
        <v>0</v>
      </c>
      <c r="BV139" s="12">
        <f t="shared" si="406"/>
        <v>0</v>
      </c>
      <c r="BW139" s="12">
        <f t="shared" si="407"/>
        <v>0</v>
      </c>
      <c r="BX139" s="12">
        <f t="shared" si="408"/>
        <v>0</v>
      </c>
      <c r="BY139" s="12">
        <f t="shared" si="409"/>
        <v>0</v>
      </c>
      <c r="BZ139" s="12">
        <f t="shared" si="410"/>
        <v>0</v>
      </c>
      <c r="CA139" s="12">
        <f t="shared" si="411"/>
        <v>0</v>
      </c>
      <c r="CB139" s="12">
        <f t="shared" si="412"/>
        <v>0</v>
      </c>
      <c r="CC139" s="12">
        <f t="shared" si="413"/>
        <v>0</v>
      </c>
      <c r="CD139" s="12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2">
        <v>1</v>
      </c>
      <c r="CQ139" s="17"/>
      <c r="CR139" s="17"/>
      <c r="CS139" s="17"/>
      <c r="CT139" s="17"/>
      <c r="CU139" s="17"/>
      <c r="CV139" s="12"/>
      <c r="CW139" s="17"/>
      <c r="CX139" s="17"/>
      <c r="CY139" s="17"/>
      <c r="CZ139" s="17"/>
      <c r="DA139" s="17"/>
      <c r="DB139" s="17"/>
      <c r="DC139" s="17"/>
      <c r="DD139" s="17"/>
      <c r="DE139" s="12"/>
      <c r="DF139" s="17"/>
      <c r="DG139" s="17"/>
      <c r="DH139" s="17"/>
      <c r="DI139" s="36">
        <f>(AT139+SUM(AU139:AX139)*1000+SUM(AY139:CC139)-SUM(CD139:DH139))</f>
        <v>3</v>
      </c>
      <c r="DJ139" s="12">
        <f>DI139*50</f>
        <v>150</v>
      </c>
      <c r="DK139" s="12">
        <f t="shared" si="477"/>
        <v>0</v>
      </c>
      <c r="DL139" s="12">
        <f>DK139*50</f>
        <v>0</v>
      </c>
      <c r="DM139" s="12">
        <f t="shared" si="478"/>
        <v>1</v>
      </c>
      <c r="DN139" s="12">
        <f>DM139*50</f>
        <v>50</v>
      </c>
      <c r="DO139" s="12">
        <f t="shared" si="479"/>
        <v>0</v>
      </c>
      <c r="DP139" s="12">
        <f>DO139*50</f>
        <v>0</v>
      </c>
      <c r="DQ139" s="12">
        <f t="shared" si="480"/>
        <v>0</v>
      </c>
      <c r="DR139" s="12">
        <f>DQ139*50</f>
        <v>0</v>
      </c>
      <c r="DS139" s="12">
        <f t="shared" si="481"/>
        <v>1</v>
      </c>
      <c r="DT139" s="12">
        <f>DS139*50</f>
        <v>50</v>
      </c>
    </row>
    <row r="140" spans="1:124" ht="14.25" customHeight="1">
      <c r="A140" s="12">
        <v>136</v>
      </c>
      <c r="B140" s="26" t="s">
        <v>171</v>
      </c>
      <c r="C140" s="14"/>
      <c r="D140" s="100" t="s">
        <v>105</v>
      </c>
      <c r="E140" s="56">
        <v>12</v>
      </c>
      <c r="F140" s="103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>
        <v>6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2">
        <f t="shared" si="380"/>
        <v>6</v>
      </c>
      <c r="AP140" s="17">
        <f>AO140*25</f>
        <v>150</v>
      </c>
      <c r="AQ140" s="12">
        <f t="shared" si="381"/>
        <v>350</v>
      </c>
      <c r="AR140" s="17"/>
      <c r="AS140" s="126">
        <f t="shared" si="311"/>
        <v>8</v>
      </c>
      <c r="AT140" s="56">
        <v>4</v>
      </c>
      <c r="AU140" s="50"/>
      <c r="AV140" s="12"/>
      <c r="AW140" s="12"/>
      <c r="AX140" s="12"/>
      <c r="AY140" s="12">
        <f t="shared" si="383"/>
        <v>0</v>
      </c>
      <c r="AZ140" s="12">
        <f t="shared" si="384"/>
        <v>0</v>
      </c>
      <c r="BA140" s="12">
        <f t="shared" si="385"/>
        <v>0</v>
      </c>
      <c r="BB140" s="12">
        <f t="shared" si="386"/>
        <v>0</v>
      </c>
      <c r="BC140" s="12">
        <f t="shared" si="387"/>
        <v>0</v>
      </c>
      <c r="BD140" s="12">
        <f t="shared" si="388"/>
        <v>0</v>
      </c>
      <c r="BE140" s="12">
        <f t="shared" si="389"/>
        <v>0</v>
      </c>
      <c r="BF140" s="12">
        <f t="shared" si="390"/>
        <v>0</v>
      </c>
      <c r="BG140" s="12">
        <f t="shared" si="391"/>
        <v>0</v>
      </c>
      <c r="BH140" s="12">
        <f t="shared" si="392"/>
        <v>0</v>
      </c>
      <c r="BI140" s="12">
        <f t="shared" si="393"/>
        <v>0</v>
      </c>
      <c r="BJ140" s="12">
        <f t="shared" si="394"/>
        <v>0</v>
      </c>
      <c r="BK140" s="12">
        <f t="shared" si="395"/>
        <v>0</v>
      </c>
      <c r="BL140" s="12">
        <f t="shared" si="396"/>
        <v>0</v>
      </c>
      <c r="BM140" s="12">
        <f t="shared" si="397"/>
        <v>0</v>
      </c>
      <c r="BN140" s="12">
        <f t="shared" si="398"/>
        <v>0</v>
      </c>
      <c r="BO140" s="12">
        <f t="shared" si="399"/>
        <v>6</v>
      </c>
      <c r="BP140" s="12">
        <f t="shared" si="400"/>
        <v>0</v>
      </c>
      <c r="BQ140" s="12">
        <f t="shared" si="401"/>
        <v>0</v>
      </c>
      <c r="BR140" s="12">
        <f t="shared" si="402"/>
        <v>0</v>
      </c>
      <c r="BS140" s="12">
        <f t="shared" si="403"/>
        <v>0</v>
      </c>
      <c r="BT140" s="12">
        <f t="shared" si="404"/>
        <v>0</v>
      </c>
      <c r="BU140" s="12">
        <f t="shared" si="405"/>
        <v>0</v>
      </c>
      <c r="BV140" s="12">
        <f t="shared" si="406"/>
        <v>0</v>
      </c>
      <c r="BW140" s="12">
        <f t="shared" si="407"/>
        <v>0</v>
      </c>
      <c r="BX140" s="12">
        <f t="shared" si="408"/>
        <v>0</v>
      </c>
      <c r="BY140" s="12">
        <f t="shared" si="409"/>
        <v>0</v>
      </c>
      <c r="BZ140" s="12">
        <f t="shared" si="410"/>
        <v>0</v>
      </c>
      <c r="CA140" s="12">
        <f t="shared" si="411"/>
        <v>0</v>
      </c>
      <c r="CB140" s="12">
        <f t="shared" si="412"/>
        <v>0</v>
      </c>
      <c r="CC140" s="12">
        <f t="shared" si="413"/>
        <v>0</v>
      </c>
      <c r="CD140" s="12"/>
      <c r="CE140" s="17"/>
      <c r="CF140" s="17"/>
      <c r="CG140" s="17"/>
      <c r="CH140" s="17"/>
      <c r="CI140" s="17">
        <v>1</v>
      </c>
      <c r="CJ140" s="17"/>
      <c r="CK140" s="17"/>
      <c r="CL140" s="17"/>
      <c r="CM140" s="17"/>
      <c r="CN140" s="17"/>
      <c r="CO140" s="17"/>
      <c r="CP140" s="12">
        <v>1</v>
      </c>
      <c r="CQ140" s="17"/>
      <c r="CR140" s="17"/>
      <c r="CS140" s="17"/>
      <c r="CT140" s="17"/>
      <c r="CU140" s="17"/>
      <c r="CV140" s="12"/>
      <c r="CW140" s="17"/>
      <c r="CX140" s="17"/>
      <c r="CY140" s="17"/>
      <c r="CZ140" s="17"/>
      <c r="DA140" s="17"/>
      <c r="DB140" s="17"/>
      <c r="DC140" s="17"/>
      <c r="DD140" s="17"/>
      <c r="DE140" s="12"/>
      <c r="DF140" s="17"/>
      <c r="DG140" s="17"/>
      <c r="DH140" s="17"/>
      <c r="DI140" s="36">
        <f>(AT140+SUM(AU140:AX140)*1000+SUM(AY140:CC140)-SUM(CD140:DH140))</f>
        <v>8</v>
      </c>
      <c r="DJ140" s="12">
        <f>DI140*25</f>
        <v>200</v>
      </c>
      <c r="DK140" s="12">
        <f t="shared" si="477"/>
        <v>1</v>
      </c>
      <c r="DL140" s="12">
        <f>DK140*25</f>
        <v>25</v>
      </c>
      <c r="DM140" s="12">
        <f t="shared" si="478"/>
        <v>1</v>
      </c>
      <c r="DN140" s="12">
        <f>DM140*25</f>
        <v>25</v>
      </c>
      <c r="DO140" s="12">
        <f t="shared" si="479"/>
        <v>0</v>
      </c>
      <c r="DP140" s="12">
        <f>DO140*25</f>
        <v>0</v>
      </c>
      <c r="DQ140" s="12">
        <f t="shared" si="480"/>
        <v>0</v>
      </c>
      <c r="DR140" s="12">
        <f>DQ140*25</f>
        <v>0</v>
      </c>
      <c r="DS140" s="12">
        <f t="shared" si="481"/>
        <v>2</v>
      </c>
      <c r="DT140" s="12">
        <f>DS140*25</f>
        <v>50</v>
      </c>
    </row>
    <row r="141" spans="1:124" ht="14.25" customHeight="1">
      <c r="A141" s="12">
        <v>137</v>
      </c>
      <c r="B141" s="26" t="s">
        <v>172</v>
      </c>
      <c r="C141" s="14"/>
      <c r="D141" s="100" t="s">
        <v>105</v>
      </c>
      <c r="E141" s="56">
        <v>0</v>
      </c>
      <c r="F141" s="103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2">
        <f t="shared" si="380"/>
        <v>0</v>
      </c>
      <c r="AP141" s="17">
        <f t="shared" ref="AP141:AP144" si="491">AO141*50</f>
        <v>0</v>
      </c>
      <c r="AQ141" s="12">
        <f t="shared" si="381"/>
        <v>0</v>
      </c>
      <c r="AR141" s="17"/>
      <c r="AS141" s="126">
        <f t="shared" si="311"/>
        <v>0</v>
      </c>
      <c r="AT141" s="56">
        <v>0</v>
      </c>
      <c r="AU141" s="50"/>
      <c r="AV141" s="12"/>
      <c r="AW141" s="12"/>
      <c r="AX141" s="12"/>
      <c r="AY141" s="12">
        <f t="shared" si="383"/>
        <v>0</v>
      </c>
      <c r="AZ141" s="12">
        <f t="shared" si="384"/>
        <v>0</v>
      </c>
      <c r="BA141" s="12">
        <f t="shared" si="385"/>
        <v>0</v>
      </c>
      <c r="BB141" s="12">
        <f t="shared" si="386"/>
        <v>0</v>
      </c>
      <c r="BC141" s="12">
        <f t="shared" si="387"/>
        <v>0</v>
      </c>
      <c r="BD141" s="12">
        <f t="shared" si="388"/>
        <v>0</v>
      </c>
      <c r="BE141" s="12">
        <f t="shared" si="389"/>
        <v>0</v>
      </c>
      <c r="BF141" s="12">
        <f t="shared" si="390"/>
        <v>0</v>
      </c>
      <c r="BG141" s="12">
        <f t="shared" si="391"/>
        <v>0</v>
      </c>
      <c r="BH141" s="12">
        <f t="shared" si="392"/>
        <v>0</v>
      </c>
      <c r="BI141" s="12">
        <f t="shared" si="393"/>
        <v>0</v>
      </c>
      <c r="BJ141" s="12">
        <f t="shared" si="394"/>
        <v>0</v>
      </c>
      <c r="BK141" s="12">
        <f t="shared" si="395"/>
        <v>0</v>
      </c>
      <c r="BL141" s="12">
        <f t="shared" si="396"/>
        <v>0</v>
      </c>
      <c r="BM141" s="12">
        <f t="shared" si="397"/>
        <v>0</v>
      </c>
      <c r="BN141" s="12">
        <f t="shared" si="398"/>
        <v>0</v>
      </c>
      <c r="BO141" s="12">
        <f t="shared" si="399"/>
        <v>0</v>
      </c>
      <c r="BP141" s="12">
        <f t="shared" si="400"/>
        <v>0</v>
      </c>
      <c r="BQ141" s="12">
        <f t="shared" si="401"/>
        <v>0</v>
      </c>
      <c r="BR141" s="12">
        <f t="shared" si="402"/>
        <v>0</v>
      </c>
      <c r="BS141" s="12">
        <f t="shared" si="403"/>
        <v>0</v>
      </c>
      <c r="BT141" s="12">
        <f t="shared" si="404"/>
        <v>0</v>
      </c>
      <c r="BU141" s="12">
        <f t="shared" si="405"/>
        <v>0</v>
      </c>
      <c r="BV141" s="12">
        <f t="shared" si="406"/>
        <v>0</v>
      </c>
      <c r="BW141" s="12">
        <f t="shared" si="407"/>
        <v>0</v>
      </c>
      <c r="BX141" s="12">
        <f t="shared" si="408"/>
        <v>0</v>
      </c>
      <c r="BY141" s="12">
        <f t="shared" si="409"/>
        <v>0</v>
      </c>
      <c r="BZ141" s="12">
        <f t="shared" si="410"/>
        <v>0</v>
      </c>
      <c r="CA141" s="12">
        <f t="shared" si="411"/>
        <v>0</v>
      </c>
      <c r="CB141" s="12">
        <f t="shared" si="412"/>
        <v>0</v>
      </c>
      <c r="CC141" s="12">
        <f t="shared" si="413"/>
        <v>0</v>
      </c>
      <c r="CD141" s="12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2"/>
      <c r="CQ141" s="17"/>
      <c r="CR141" s="17"/>
      <c r="CS141" s="17"/>
      <c r="CT141" s="17"/>
      <c r="CU141" s="17"/>
      <c r="CV141" s="12"/>
      <c r="CW141" s="17"/>
      <c r="CX141" s="17"/>
      <c r="CY141" s="17"/>
      <c r="CZ141" s="17"/>
      <c r="DA141" s="17"/>
      <c r="DB141" s="17"/>
      <c r="DC141" s="17"/>
      <c r="DD141" s="17"/>
      <c r="DE141" s="12"/>
      <c r="DF141" s="17"/>
      <c r="DG141" s="17"/>
      <c r="DH141" s="17"/>
      <c r="DI141" s="36">
        <f>(AT141+SUM(AU141:AX141)*50+SUM(AY141:CC141)-SUM(CD141:DH141))</f>
        <v>0</v>
      </c>
      <c r="DJ141" s="12">
        <f t="shared" ref="DJ141:DJ144" si="492">DI141*50</f>
        <v>0</v>
      </c>
      <c r="DK141" s="12">
        <f t="shared" si="477"/>
        <v>0</v>
      </c>
      <c r="DL141" s="12">
        <f t="shared" ref="DL141:DL144" si="493">DK141*50</f>
        <v>0</v>
      </c>
      <c r="DM141" s="12">
        <f t="shared" si="478"/>
        <v>0</v>
      </c>
      <c r="DN141" s="12">
        <f t="shared" ref="DN141:DN144" si="494">DM141*50</f>
        <v>0</v>
      </c>
      <c r="DO141" s="12">
        <f t="shared" si="479"/>
        <v>0</v>
      </c>
      <c r="DP141" s="12">
        <f t="shared" ref="DP141:DP144" si="495">DO141*50</f>
        <v>0</v>
      </c>
      <c r="DQ141" s="12">
        <f t="shared" si="480"/>
        <v>0</v>
      </c>
      <c r="DR141" s="12">
        <f t="shared" ref="DR141:DR144" si="496">DQ141*50</f>
        <v>0</v>
      </c>
      <c r="DS141" s="12">
        <f t="shared" si="481"/>
        <v>0</v>
      </c>
      <c r="DT141" s="12">
        <f t="shared" ref="DT141:DT144" si="497">DS141*50</f>
        <v>0</v>
      </c>
    </row>
    <row r="142" spans="1:124" ht="14.25" customHeight="1">
      <c r="A142" s="12">
        <v>138</v>
      </c>
      <c r="B142" s="19" t="s">
        <v>173</v>
      </c>
      <c r="C142" s="14"/>
      <c r="D142" s="95"/>
      <c r="E142" s="56">
        <v>0</v>
      </c>
      <c r="F142" s="103"/>
      <c r="G142" s="17">
        <v>4</v>
      </c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2">
        <f t="shared" si="380"/>
        <v>4</v>
      </c>
      <c r="AP142" s="17">
        <f>AO142*50</f>
        <v>200</v>
      </c>
      <c r="AQ142" s="12">
        <f t="shared" si="381"/>
        <v>200</v>
      </c>
      <c r="AR142" s="17"/>
      <c r="AS142" s="126">
        <f t="shared" si="311"/>
        <v>0</v>
      </c>
      <c r="AT142" s="56">
        <v>0</v>
      </c>
      <c r="AU142" s="50"/>
      <c r="AV142" s="12"/>
      <c r="AW142" s="12"/>
      <c r="AX142" s="12"/>
      <c r="AY142" s="12">
        <f>J142*50</f>
        <v>0</v>
      </c>
      <c r="AZ142" s="12">
        <f t="shared" ref="AZ142:BA143" si="498">K142*50</f>
        <v>0</v>
      </c>
      <c r="BA142" s="12">
        <f t="shared" si="498"/>
        <v>0</v>
      </c>
      <c r="BB142" s="12">
        <f t="shared" ref="BB142:BB143" si="499">M142*50</f>
        <v>0</v>
      </c>
      <c r="BC142" s="12">
        <f t="shared" ref="BC142:BC143" si="500">N142*50</f>
        <v>0</v>
      </c>
      <c r="BD142" s="12">
        <f t="shared" ref="BD142:BD143" si="501">O142*50</f>
        <v>0</v>
      </c>
      <c r="BE142" s="12">
        <f t="shared" ref="BE142:BE143" si="502">P142*50</f>
        <v>0</v>
      </c>
      <c r="BF142" s="12">
        <f t="shared" ref="BF142:BF143" si="503">Q142*50</f>
        <v>0</v>
      </c>
      <c r="BG142" s="12">
        <f t="shared" ref="BG142:BG143" si="504">R142*50</f>
        <v>0</v>
      </c>
      <c r="BH142" s="12">
        <f t="shared" ref="BH142:BH143" si="505">S142*50</f>
        <v>0</v>
      </c>
      <c r="BI142" s="12">
        <f t="shared" ref="BI142:BI143" si="506">T142*50</f>
        <v>0</v>
      </c>
      <c r="BJ142" s="12">
        <f t="shared" ref="BJ142:BJ143" si="507">U142*50</f>
        <v>0</v>
      </c>
      <c r="BK142" s="12">
        <f t="shared" ref="BK142:BK143" si="508">V142*50</f>
        <v>0</v>
      </c>
      <c r="BL142" s="12">
        <f t="shared" ref="BL142:BL143" si="509">W142*50</f>
        <v>0</v>
      </c>
      <c r="BM142" s="12">
        <f t="shared" ref="BM142:BM143" si="510">X142*50</f>
        <v>0</v>
      </c>
      <c r="BN142" s="12">
        <f t="shared" ref="BN142:BN143" si="511">Y142*50</f>
        <v>0</v>
      </c>
      <c r="BO142" s="12">
        <f t="shared" ref="BO142:BO143" si="512">Z142*50</f>
        <v>0</v>
      </c>
      <c r="BP142" s="12">
        <f t="shared" ref="BP142:BP143" si="513">AA142*50</f>
        <v>0</v>
      </c>
      <c r="BQ142" s="12">
        <f t="shared" ref="BQ142:BQ143" si="514">AB142*50</f>
        <v>0</v>
      </c>
      <c r="BR142" s="12">
        <f t="shared" ref="BR142:BR143" si="515">AC142*50</f>
        <v>0</v>
      </c>
      <c r="BS142" s="12">
        <f t="shared" ref="BS142:BS143" si="516">AD142*50</f>
        <v>0</v>
      </c>
      <c r="BT142" s="12">
        <f t="shared" ref="BT142:BT143" si="517">AE142*50</f>
        <v>0</v>
      </c>
      <c r="BU142" s="12">
        <f t="shared" ref="BU142:BU143" si="518">AF142*50</f>
        <v>0</v>
      </c>
      <c r="BV142" s="12">
        <f t="shared" ref="BV142:BV143" si="519">AG142*50</f>
        <v>0</v>
      </c>
      <c r="BW142" s="12">
        <f t="shared" ref="BW142:BW143" si="520">AH142*50</f>
        <v>0</v>
      </c>
      <c r="BX142" s="12">
        <f t="shared" ref="BX142:BX143" si="521">AI142*50</f>
        <v>0</v>
      </c>
      <c r="BY142" s="12">
        <f t="shared" ref="BY142:BY143" si="522">AJ142*50</f>
        <v>0</v>
      </c>
      <c r="BZ142" s="12">
        <f t="shared" ref="BZ142:BZ143" si="523">AK142*50</f>
        <v>0</v>
      </c>
      <c r="CA142" s="12">
        <f t="shared" ref="CA142:CA143" si="524">AL142*50</f>
        <v>0</v>
      </c>
      <c r="CB142" s="12">
        <f t="shared" ref="CB142:CB143" si="525">AM142*50</f>
        <v>0</v>
      </c>
      <c r="CC142" s="12">
        <f t="shared" ref="CC142:CC143" si="526">AN142*50</f>
        <v>0</v>
      </c>
      <c r="CD142" s="12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2"/>
      <c r="CQ142" s="17"/>
      <c r="CR142" s="17"/>
      <c r="CS142" s="17"/>
      <c r="CT142" s="17"/>
      <c r="CU142" s="17"/>
      <c r="CV142" s="12"/>
      <c r="CW142" s="17"/>
      <c r="CX142" s="17"/>
      <c r="CY142" s="17"/>
      <c r="CZ142" s="17"/>
      <c r="DA142" s="17"/>
      <c r="DB142" s="17"/>
      <c r="DC142" s="17"/>
      <c r="DD142" s="17"/>
      <c r="DE142" s="12"/>
      <c r="DF142" s="17"/>
      <c r="DG142" s="17"/>
      <c r="DH142" s="17"/>
      <c r="DI142" s="36">
        <f>(AT142+SUM(AU142:AX142)*50+SUM(AY142:CC142)-SUM(CD142:DH142))</f>
        <v>0</v>
      </c>
      <c r="DJ142" s="12">
        <f>DI142</f>
        <v>0</v>
      </c>
      <c r="DK142" s="12">
        <f t="shared" si="477"/>
        <v>0</v>
      </c>
      <c r="DL142" s="12">
        <f t="shared" si="493"/>
        <v>0</v>
      </c>
      <c r="DM142" s="12">
        <f t="shared" si="478"/>
        <v>0</v>
      </c>
      <c r="DN142" s="12">
        <f t="shared" si="494"/>
        <v>0</v>
      </c>
      <c r="DO142" s="12">
        <f t="shared" si="479"/>
        <v>0</v>
      </c>
      <c r="DP142" s="12">
        <f t="shared" si="495"/>
        <v>0</v>
      </c>
      <c r="DQ142" s="12">
        <f t="shared" si="480"/>
        <v>0</v>
      </c>
      <c r="DR142" s="12">
        <f t="shared" si="496"/>
        <v>0</v>
      </c>
      <c r="DS142" s="12">
        <f t="shared" si="481"/>
        <v>0</v>
      </c>
      <c r="DT142" s="12">
        <f t="shared" si="497"/>
        <v>0</v>
      </c>
    </row>
    <row r="143" spans="1:124" ht="14.25" customHeight="1">
      <c r="A143" s="12">
        <v>139</v>
      </c>
      <c r="B143" s="19" t="s">
        <v>174</v>
      </c>
      <c r="C143" s="14"/>
      <c r="D143" s="95"/>
      <c r="E143" s="56">
        <v>1</v>
      </c>
      <c r="F143" s="103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2">
        <f t="shared" si="380"/>
        <v>1</v>
      </c>
      <c r="AP143" s="17">
        <f t="shared" si="491"/>
        <v>50</v>
      </c>
      <c r="AQ143" s="12">
        <f t="shared" si="381"/>
        <v>50</v>
      </c>
      <c r="AR143" s="17"/>
      <c r="AS143" s="126">
        <f t="shared" si="311"/>
        <v>0</v>
      </c>
      <c r="AT143" s="56">
        <v>0</v>
      </c>
      <c r="AU143" s="50"/>
      <c r="AV143" s="12"/>
      <c r="AW143" s="12"/>
      <c r="AX143" s="12"/>
      <c r="AY143" s="12">
        <f>J143*50</f>
        <v>0</v>
      </c>
      <c r="AZ143" s="12">
        <f t="shared" si="498"/>
        <v>0</v>
      </c>
      <c r="BA143" s="12">
        <f t="shared" si="498"/>
        <v>0</v>
      </c>
      <c r="BB143" s="12">
        <f t="shared" si="499"/>
        <v>0</v>
      </c>
      <c r="BC143" s="12">
        <f t="shared" si="500"/>
        <v>0</v>
      </c>
      <c r="BD143" s="12">
        <f t="shared" si="501"/>
        <v>0</v>
      </c>
      <c r="BE143" s="12">
        <f t="shared" si="502"/>
        <v>0</v>
      </c>
      <c r="BF143" s="12">
        <f t="shared" si="503"/>
        <v>0</v>
      </c>
      <c r="BG143" s="12">
        <f t="shared" si="504"/>
        <v>0</v>
      </c>
      <c r="BH143" s="12">
        <f t="shared" si="505"/>
        <v>0</v>
      </c>
      <c r="BI143" s="12">
        <f t="shared" si="506"/>
        <v>0</v>
      </c>
      <c r="BJ143" s="12">
        <f t="shared" si="507"/>
        <v>0</v>
      </c>
      <c r="BK143" s="12">
        <f t="shared" si="508"/>
        <v>0</v>
      </c>
      <c r="BL143" s="12">
        <f t="shared" si="509"/>
        <v>0</v>
      </c>
      <c r="BM143" s="12">
        <f t="shared" si="510"/>
        <v>0</v>
      </c>
      <c r="BN143" s="12">
        <f t="shared" si="511"/>
        <v>0</v>
      </c>
      <c r="BO143" s="12">
        <f t="shared" si="512"/>
        <v>0</v>
      </c>
      <c r="BP143" s="12">
        <f t="shared" si="513"/>
        <v>0</v>
      </c>
      <c r="BQ143" s="12">
        <f t="shared" si="514"/>
        <v>0</v>
      </c>
      <c r="BR143" s="12">
        <f t="shared" si="515"/>
        <v>0</v>
      </c>
      <c r="BS143" s="12">
        <f t="shared" si="516"/>
        <v>0</v>
      </c>
      <c r="BT143" s="12">
        <f t="shared" si="517"/>
        <v>0</v>
      </c>
      <c r="BU143" s="12">
        <f t="shared" si="518"/>
        <v>0</v>
      </c>
      <c r="BV143" s="12">
        <f t="shared" si="519"/>
        <v>0</v>
      </c>
      <c r="BW143" s="12">
        <f t="shared" si="520"/>
        <v>0</v>
      </c>
      <c r="BX143" s="12">
        <f t="shared" si="521"/>
        <v>0</v>
      </c>
      <c r="BY143" s="12">
        <f t="shared" si="522"/>
        <v>0</v>
      </c>
      <c r="BZ143" s="12">
        <f t="shared" si="523"/>
        <v>0</v>
      </c>
      <c r="CA143" s="12">
        <f t="shared" si="524"/>
        <v>0</v>
      </c>
      <c r="CB143" s="12">
        <f t="shared" si="525"/>
        <v>0</v>
      </c>
      <c r="CC143" s="12">
        <f t="shared" si="526"/>
        <v>0</v>
      </c>
      <c r="CD143" s="12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2"/>
      <c r="CQ143" s="17"/>
      <c r="CR143" s="17"/>
      <c r="CS143" s="17"/>
      <c r="CT143" s="17"/>
      <c r="CU143" s="17"/>
      <c r="CV143" s="12"/>
      <c r="CW143" s="17"/>
      <c r="CX143" s="17"/>
      <c r="CY143" s="17"/>
      <c r="CZ143" s="17"/>
      <c r="DA143" s="17"/>
      <c r="DB143" s="17"/>
      <c r="DC143" s="17"/>
      <c r="DD143" s="17"/>
      <c r="DE143" s="12"/>
      <c r="DF143" s="17"/>
      <c r="DG143" s="17"/>
      <c r="DH143" s="17"/>
      <c r="DI143" s="36">
        <f>(AT143+SUM(AU143:AX143)*50+SUM(AY143:CC143)-SUM(CD143:DH143))</f>
        <v>0</v>
      </c>
      <c r="DJ143" s="12">
        <f>DI143</f>
        <v>0</v>
      </c>
      <c r="DK143" s="12">
        <f t="shared" si="477"/>
        <v>0</v>
      </c>
      <c r="DL143" s="12">
        <f t="shared" si="493"/>
        <v>0</v>
      </c>
      <c r="DM143" s="12">
        <f t="shared" si="478"/>
        <v>0</v>
      </c>
      <c r="DN143" s="12">
        <f t="shared" si="494"/>
        <v>0</v>
      </c>
      <c r="DO143" s="12">
        <f t="shared" si="479"/>
        <v>0</v>
      </c>
      <c r="DP143" s="12">
        <f t="shared" si="495"/>
        <v>0</v>
      </c>
      <c r="DQ143" s="12">
        <f t="shared" si="480"/>
        <v>0</v>
      </c>
      <c r="DR143" s="12">
        <f t="shared" si="496"/>
        <v>0</v>
      </c>
      <c r="DS143" s="12">
        <f t="shared" si="481"/>
        <v>0</v>
      </c>
      <c r="DT143" s="12">
        <f t="shared" si="497"/>
        <v>0</v>
      </c>
    </row>
    <row r="144" spans="1:124" ht="14.25" customHeight="1">
      <c r="A144" s="12">
        <v>140</v>
      </c>
      <c r="B144" s="19" t="s">
        <v>175</v>
      </c>
      <c r="C144" s="14"/>
      <c r="D144" s="95"/>
      <c r="E144" s="56">
        <v>118</v>
      </c>
      <c r="F144" s="103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>
        <v>60</v>
      </c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2">
        <f t="shared" si="380"/>
        <v>58</v>
      </c>
      <c r="AP144" s="17">
        <f t="shared" si="491"/>
        <v>2900</v>
      </c>
      <c r="AQ144" s="12">
        <f t="shared" si="381"/>
        <v>8400</v>
      </c>
      <c r="AR144" s="17"/>
      <c r="AS144" s="126">
        <f t="shared" si="311"/>
        <v>110</v>
      </c>
      <c r="AT144" s="56">
        <v>50</v>
      </c>
      <c r="AU144" s="50"/>
      <c r="AV144" s="12"/>
      <c r="AW144" s="12"/>
      <c r="AX144" s="12"/>
      <c r="AY144" s="12">
        <f t="shared" si="383"/>
        <v>0</v>
      </c>
      <c r="AZ144" s="12">
        <f t="shared" si="384"/>
        <v>0</v>
      </c>
      <c r="BA144" s="12">
        <f t="shared" si="385"/>
        <v>0</v>
      </c>
      <c r="BB144" s="12">
        <f t="shared" si="386"/>
        <v>0</v>
      </c>
      <c r="BC144" s="12">
        <f t="shared" si="387"/>
        <v>0</v>
      </c>
      <c r="BD144" s="12">
        <f t="shared" si="388"/>
        <v>0</v>
      </c>
      <c r="BE144" s="12">
        <f t="shared" si="389"/>
        <v>0</v>
      </c>
      <c r="BF144" s="12">
        <f t="shared" si="390"/>
        <v>60</v>
      </c>
      <c r="BG144" s="12">
        <f t="shared" si="391"/>
        <v>0</v>
      </c>
      <c r="BH144" s="12">
        <f t="shared" si="392"/>
        <v>0</v>
      </c>
      <c r="BI144" s="12">
        <f t="shared" si="393"/>
        <v>0</v>
      </c>
      <c r="BJ144" s="12">
        <f t="shared" si="394"/>
        <v>0</v>
      </c>
      <c r="BK144" s="12">
        <f t="shared" si="395"/>
        <v>0</v>
      </c>
      <c r="BL144" s="12">
        <f t="shared" si="396"/>
        <v>0</v>
      </c>
      <c r="BM144" s="12">
        <f t="shared" si="397"/>
        <v>0</v>
      </c>
      <c r="BN144" s="12">
        <f t="shared" si="398"/>
        <v>0</v>
      </c>
      <c r="BO144" s="12">
        <f t="shared" si="399"/>
        <v>0</v>
      </c>
      <c r="BP144" s="12">
        <f t="shared" si="400"/>
        <v>0</v>
      </c>
      <c r="BQ144" s="12">
        <f t="shared" si="401"/>
        <v>0</v>
      </c>
      <c r="BR144" s="12">
        <f t="shared" si="402"/>
        <v>0</v>
      </c>
      <c r="BS144" s="12">
        <f t="shared" si="403"/>
        <v>0</v>
      </c>
      <c r="BT144" s="12">
        <f t="shared" si="404"/>
        <v>0</v>
      </c>
      <c r="BU144" s="12">
        <f t="shared" si="405"/>
        <v>0</v>
      </c>
      <c r="BV144" s="12">
        <f t="shared" si="406"/>
        <v>0</v>
      </c>
      <c r="BW144" s="12">
        <f t="shared" si="407"/>
        <v>0</v>
      </c>
      <c r="BX144" s="12">
        <f t="shared" si="408"/>
        <v>0</v>
      </c>
      <c r="BY144" s="12">
        <f t="shared" si="409"/>
        <v>0</v>
      </c>
      <c r="BZ144" s="12">
        <f t="shared" si="410"/>
        <v>0</v>
      </c>
      <c r="CA144" s="12">
        <f t="shared" si="411"/>
        <v>0</v>
      </c>
      <c r="CB144" s="12">
        <f t="shared" si="412"/>
        <v>0</v>
      </c>
      <c r="CC144" s="12">
        <f t="shared" si="413"/>
        <v>0</v>
      </c>
      <c r="CD144" s="12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2"/>
      <c r="CQ144" s="17"/>
      <c r="CR144" s="17"/>
      <c r="CS144" s="17"/>
      <c r="CT144" s="17"/>
      <c r="CU144" s="17"/>
      <c r="CV144" s="12"/>
      <c r="CW144" s="17"/>
      <c r="CX144" s="17"/>
      <c r="CY144" s="17"/>
      <c r="CZ144" s="17"/>
      <c r="DA144" s="17"/>
      <c r="DB144" s="17"/>
      <c r="DC144" s="17"/>
      <c r="DD144" s="17"/>
      <c r="DE144" s="12"/>
      <c r="DF144" s="17"/>
      <c r="DG144" s="17"/>
      <c r="DH144" s="17"/>
      <c r="DI144" s="36">
        <f>(AT144+SUM(AU144:AX144)*50+SUM(AY144:CC144)-SUM(CD144:DH144))</f>
        <v>110</v>
      </c>
      <c r="DJ144" s="12">
        <f t="shared" si="492"/>
        <v>5500</v>
      </c>
      <c r="DK144" s="12">
        <f t="shared" si="477"/>
        <v>0</v>
      </c>
      <c r="DL144" s="12">
        <f t="shared" si="493"/>
        <v>0</v>
      </c>
      <c r="DM144" s="12">
        <f t="shared" si="478"/>
        <v>0</v>
      </c>
      <c r="DN144" s="12">
        <f t="shared" si="494"/>
        <v>0</v>
      </c>
      <c r="DO144" s="12">
        <f t="shared" si="479"/>
        <v>0</v>
      </c>
      <c r="DP144" s="12">
        <f t="shared" si="495"/>
        <v>0</v>
      </c>
      <c r="DQ144" s="12">
        <f t="shared" si="480"/>
        <v>0</v>
      </c>
      <c r="DR144" s="12">
        <f t="shared" si="496"/>
        <v>0</v>
      </c>
      <c r="DS144" s="12">
        <f t="shared" si="481"/>
        <v>0</v>
      </c>
      <c r="DT144" s="12">
        <f t="shared" si="497"/>
        <v>0</v>
      </c>
    </row>
    <row r="145" spans="1:124" ht="14.25" customHeight="1">
      <c r="A145" s="12">
        <v>141</v>
      </c>
      <c r="B145" s="19" t="s">
        <v>176</v>
      </c>
      <c r="C145" s="14"/>
      <c r="D145" s="95"/>
      <c r="E145" s="56">
        <v>10</v>
      </c>
      <c r="F145" s="103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>
        <v>10</v>
      </c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2">
        <f t="shared" si="380"/>
        <v>0</v>
      </c>
      <c r="AP145" s="17">
        <f>AO145*100</f>
        <v>0</v>
      </c>
      <c r="AQ145" s="12">
        <f t="shared" si="381"/>
        <v>1400</v>
      </c>
      <c r="AR145" s="17"/>
      <c r="AS145" s="126">
        <f t="shared" si="311"/>
        <v>14</v>
      </c>
      <c r="AT145" s="56">
        <v>4</v>
      </c>
      <c r="AU145" s="50"/>
      <c r="AV145" s="12"/>
      <c r="AW145" s="12"/>
      <c r="AX145" s="12"/>
      <c r="AY145" s="12">
        <f t="shared" si="383"/>
        <v>0</v>
      </c>
      <c r="AZ145" s="12">
        <f t="shared" si="384"/>
        <v>0</v>
      </c>
      <c r="BA145" s="12">
        <f t="shared" si="385"/>
        <v>0</v>
      </c>
      <c r="BB145" s="12">
        <f t="shared" si="386"/>
        <v>0</v>
      </c>
      <c r="BC145" s="12">
        <f t="shared" si="387"/>
        <v>0</v>
      </c>
      <c r="BD145" s="12">
        <f t="shared" si="388"/>
        <v>0</v>
      </c>
      <c r="BE145" s="12">
        <f t="shared" si="389"/>
        <v>0</v>
      </c>
      <c r="BF145" s="12">
        <f t="shared" si="390"/>
        <v>10</v>
      </c>
      <c r="BG145" s="12">
        <f t="shared" si="391"/>
        <v>0</v>
      </c>
      <c r="BH145" s="12">
        <f t="shared" si="392"/>
        <v>0</v>
      </c>
      <c r="BI145" s="12">
        <f t="shared" si="393"/>
        <v>0</v>
      </c>
      <c r="BJ145" s="12">
        <f t="shared" si="394"/>
        <v>0</v>
      </c>
      <c r="BK145" s="12">
        <f t="shared" si="395"/>
        <v>0</v>
      </c>
      <c r="BL145" s="12">
        <f t="shared" si="396"/>
        <v>0</v>
      </c>
      <c r="BM145" s="12">
        <f t="shared" si="397"/>
        <v>0</v>
      </c>
      <c r="BN145" s="12">
        <f t="shared" si="398"/>
        <v>0</v>
      </c>
      <c r="BO145" s="12">
        <f t="shared" si="399"/>
        <v>0</v>
      </c>
      <c r="BP145" s="12">
        <f t="shared" si="400"/>
        <v>0</v>
      </c>
      <c r="BQ145" s="12">
        <f t="shared" si="401"/>
        <v>0</v>
      </c>
      <c r="BR145" s="12">
        <f t="shared" si="402"/>
        <v>0</v>
      </c>
      <c r="BS145" s="12">
        <f t="shared" si="403"/>
        <v>0</v>
      </c>
      <c r="BT145" s="12">
        <f t="shared" si="404"/>
        <v>0</v>
      </c>
      <c r="BU145" s="12">
        <f t="shared" si="405"/>
        <v>0</v>
      </c>
      <c r="BV145" s="12">
        <f t="shared" si="406"/>
        <v>0</v>
      </c>
      <c r="BW145" s="12">
        <f t="shared" si="407"/>
        <v>0</v>
      </c>
      <c r="BX145" s="12">
        <f t="shared" si="408"/>
        <v>0</v>
      </c>
      <c r="BY145" s="12">
        <f t="shared" si="409"/>
        <v>0</v>
      </c>
      <c r="BZ145" s="12">
        <f t="shared" si="410"/>
        <v>0</v>
      </c>
      <c r="CA145" s="12">
        <f t="shared" si="411"/>
        <v>0</v>
      </c>
      <c r="CB145" s="12">
        <f t="shared" si="412"/>
        <v>0</v>
      </c>
      <c r="CC145" s="12">
        <f t="shared" si="413"/>
        <v>0</v>
      </c>
      <c r="CD145" s="12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2"/>
      <c r="CQ145" s="17"/>
      <c r="CR145" s="17"/>
      <c r="CS145" s="17"/>
      <c r="CT145" s="17"/>
      <c r="CU145" s="17"/>
      <c r="CV145" s="12"/>
      <c r="CW145" s="17"/>
      <c r="CX145" s="17"/>
      <c r="CY145" s="17"/>
      <c r="CZ145" s="17"/>
      <c r="DA145" s="17"/>
      <c r="DB145" s="17"/>
      <c r="DC145" s="17"/>
      <c r="DD145" s="17"/>
      <c r="DE145" s="12"/>
      <c r="DF145" s="17"/>
      <c r="DG145" s="17"/>
      <c r="DH145" s="17"/>
      <c r="DI145" s="36">
        <f t="shared" ref="DI145:DI182" si="527">(AT145+SUM(AU145:AX145)*100+SUM(AY145:CC145)-SUM(CD145:DH145))</f>
        <v>14</v>
      </c>
      <c r="DJ145" s="12">
        <f>DI145*100</f>
        <v>1400</v>
      </c>
      <c r="DK145" s="12">
        <f t="shared" si="477"/>
        <v>0</v>
      </c>
      <c r="DL145" s="12">
        <f>DK145*100</f>
        <v>0</v>
      </c>
      <c r="DM145" s="12">
        <f t="shared" si="478"/>
        <v>0</v>
      </c>
      <c r="DN145" s="12">
        <f>DM145*100</f>
        <v>0</v>
      </c>
      <c r="DO145" s="12">
        <f t="shared" si="479"/>
        <v>0</v>
      </c>
      <c r="DP145" s="12">
        <f>DO145*100</f>
        <v>0</v>
      </c>
      <c r="DQ145" s="12">
        <f t="shared" si="480"/>
        <v>0</v>
      </c>
      <c r="DR145" s="12">
        <f>DQ145*100</f>
        <v>0</v>
      </c>
      <c r="DS145" s="12">
        <f t="shared" si="481"/>
        <v>0</v>
      </c>
      <c r="DT145" s="12">
        <f>DS145*100</f>
        <v>0</v>
      </c>
    </row>
    <row r="146" spans="1:124" ht="14.25" customHeight="1">
      <c r="A146" s="12">
        <v>142</v>
      </c>
      <c r="B146" s="19" t="s">
        <v>177</v>
      </c>
      <c r="C146" s="14"/>
      <c r="D146" s="95"/>
      <c r="E146" s="56">
        <v>4</v>
      </c>
      <c r="F146" s="103"/>
      <c r="G146" s="17">
        <v>2</v>
      </c>
      <c r="H146" s="17"/>
      <c r="I146" s="17"/>
      <c r="J146" s="17">
        <v>2</v>
      </c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>
        <v>1</v>
      </c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2">
        <f t="shared" si="380"/>
        <v>3</v>
      </c>
      <c r="AP146" s="17">
        <f>AO146*1000</f>
        <v>3000</v>
      </c>
      <c r="AQ146" s="12">
        <f t="shared" si="381"/>
        <v>5250</v>
      </c>
      <c r="AR146" s="17"/>
      <c r="AS146" s="126">
        <f t="shared" si="311"/>
        <v>45</v>
      </c>
      <c r="AT146" s="56">
        <v>4</v>
      </c>
      <c r="AU146" s="50"/>
      <c r="AV146" s="12"/>
      <c r="AW146" s="12"/>
      <c r="AX146" s="12"/>
      <c r="AY146" s="12">
        <f>J146*20</f>
        <v>40</v>
      </c>
      <c r="AZ146" s="12">
        <f t="shared" si="384"/>
        <v>0</v>
      </c>
      <c r="BA146" s="12">
        <f t="shared" si="385"/>
        <v>0</v>
      </c>
      <c r="BB146" s="12">
        <f t="shared" si="386"/>
        <v>0</v>
      </c>
      <c r="BC146" s="12">
        <f t="shared" si="387"/>
        <v>0</v>
      </c>
      <c r="BD146" s="12">
        <f t="shared" si="388"/>
        <v>0</v>
      </c>
      <c r="BE146" s="12">
        <f t="shared" si="389"/>
        <v>0</v>
      </c>
      <c r="BF146" s="12">
        <f t="shared" si="390"/>
        <v>0</v>
      </c>
      <c r="BG146" s="12">
        <f t="shared" si="391"/>
        <v>0</v>
      </c>
      <c r="BH146" s="12">
        <f t="shared" si="392"/>
        <v>0</v>
      </c>
      <c r="BI146" s="12">
        <f t="shared" si="393"/>
        <v>0</v>
      </c>
      <c r="BJ146" s="12">
        <f t="shared" si="394"/>
        <v>0</v>
      </c>
      <c r="BK146" s="12">
        <f t="shared" si="395"/>
        <v>0</v>
      </c>
      <c r="BL146" s="12">
        <f t="shared" si="396"/>
        <v>0</v>
      </c>
      <c r="BM146" s="12">
        <f t="shared" si="397"/>
        <v>0</v>
      </c>
      <c r="BN146" s="12">
        <f t="shared" si="398"/>
        <v>0</v>
      </c>
      <c r="BO146" s="12">
        <f t="shared" si="399"/>
        <v>1</v>
      </c>
      <c r="BP146" s="12">
        <f t="shared" si="400"/>
        <v>0</v>
      </c>
      <c r="BQ146" s="12">
        <f t="shared" si="401"/>
        <v>0</v>
      </c>
      <c r="BR146" s="12">
        <f t="shared" si="402"/>
        <v>0</v>
      </c>
      <c r="BS146" s="12">
        <f t="shared" si="403"/>
        <v>0</v>
      </c>
      <c r="BT146" s="12">
        <f t="shared" si="404"/>
        <v>0</v>
      </c>
      <c r="BU146" s="12">
        <f t="shared" si="405"/>
        <v>0</v>
      </c>
      <c r="BV146" s="12">
        <f t="shared" si="406"/>
        <v>0</v>
      </c>
      <c r="BW146" s="12">
        <f t="shared" si="407"/>
        <v>0</v>
      </c>
      <c r="BX146" s="12">
        <f t="shared" si="408"/>
        <v>0</v>
      </c>
      <c r="BY146" s="12">
        <f t="shared" si="409"/>
        <v>0</v>
      </c>
      <c r="BZ146" s="12">
        <f t="shared" si="410"/>
        <v>0</v>
      </c>
      <c r="CA146" s="12">
        <f t="shared" si="411"/>
        <v>0</v>
      </c>
      <c r="CB146" s="12">
        <f t="shared" si="412"/>
        <v>0</v>
      </c>
      <c r="CC146" s="12">
        <f t="shared" si="413"/>
        <v>0</v>
      </c>
      <c r="CD146" s="12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2"/>
      <c r="CQ146" s="17"/>
      <c r="CR146" s="17"/>
      <c r="CS146" s="17"/>
      <c r="CT146" s="17"/>
      <c r="CU146" s="17"/>
      <c r="CV146" s="12"/>
      <c r="CW146" s="17"/>
      <c r="CX146" s="17"/>
      <c r="CY146" s="17"/>
      <c r="CZ146" s="17"/>
      <c r="DA146" s="17"/>
      <c r="DB146" s="17"/>
      <c r="DC146" s="17"/>
      <c r="DD146" s="17"/>
      <c r="DE146" s="12"/>
      <c r="DF146" s="17"/>
      <c r="DG146" s="17"/>
      <c r="DH146" s="17"/>
      <c r="DI146" s="36">
        <f>(AT146+SUM(AU146:AX146)*1000+SUM(AY146:CC146)-SUM(CD146:DH146))</f>
        <v>45</v>
      </c>
      <c r="DJ146" s="12">
        <f t="shared" ref="DJ146:DJ147" si="528">DI146*50</f>
        <v>2250</v>
      </c>
      <c r="DK146" s="12">
        <f t="shared" si="477"/>
        <v>0</v>
      </c>
      <c r="DL146" s="12">
        <f t="shared" ref="DL146:DL147" si="529">DK146*50</f>
        <v>0</v>
      </c>
      <c r="DM146" s="12">
        <f t="shared" si="478"/>
        <v>0</v>
      </c>
      <c r="DN146" s="12">
        <f t="shared" ref="DN146:DN147" si="530">DM146*50</f>
        <v>0</v>
      </c>
      <c r="DO146" s="12">
        <f t="shared" si="479"/>
        <v>0</v>
      </c>
      <c r="DP146" s="12">
        <f t="shared" ref="DP146:DP147" si="531">DO146*50</f>
        <v>0</v>
      </c>
      <c r="DQ146" s="12">
        <f t="shared" si="480"/>
        <v>0</v>
      </c>
      <c r="DR146" s="12">
        <f t="shared" ref="DR146:DR147" si="532">DQ146*50</f>
        <v>0</v>
      </c>
      <c r="DS146" s="12">
        <f t="shared" si="481"/>
        <v>0</v>
      </c>
      <c r="DT146" s="12">
        <f t="shared" ref="DT146:DT147" si="533">DS146*50</f>
        <v>0</v>
      </c>
    </row>
    <row r="147" spans="1:124" ht="14.25" customHeight="1">
      <c r="A147" s="12">
        <v>143</v>
      </c>
      <c r="B147" s="19" t="s">
        <v>178</v>
      </c>
      <c r="C147" s="14"/>
      <c r="D147" s="95"/>
      <c r="E147" s="56">
        <v>8</v>
      </c>
      <c r="F147" s="103"/>
      <c r="G147" s="17">
        <v>4</v>
      </c>
      <c r="H147" s="17"/>
      <c r="I147" s="17"/>
      <c r="J147" s="17">
        <v>4</v>
      </c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>
        <v>2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2">
        <f t="shared" si="380"/>
        <v>6</v>
      </c>
      <c r="AP147" s="17">
        <f>AO147*500</f>
        <v>3000</v>
      </c>
      <c r="AQ147" s="12">
        <f t="shared" si="381"/>
        <v>6100</v>
      </c>
      <c r="AR147" s="17"/>
      <c r="AS147" s="126">
        <f t="shared" si="311"/>
        <v>62</v>
      </c>
      <c r="AT147" s="56">
        <v>2</v>
      </c>
      <c r="AU147" s="50"/>
      <c r="AV147" s="12"/>
      <c r="AW147" s="12"/>
      <c r="AX147" s="12"/>
      <c r="AY147" s="12">
        <f>J147*10</f>
        <v>40</v>
      </c>
      <c r="AZ147" s="12">
        <f t="shared" ref="AZ147:CC147" si="534">K147*10</f>
        <v>0</v>
      </c>
      <c r="BA147" s="12">
        <f t="shared" si="534"/>
        <v>0</v>
      </c>
      <c r="BB147" s="12">
        <f t="shared" si="534"/>
        <v>0</v>
      </c>
      <c r="BC147" s="12">
        <f t="shared" si="534"/>
        <v>0</v>
      </c>
      <c r="BD147" s="12">
        <f t="shared" si="534"/>
        <v>0</v>
      </c>
      <c r="BE147" s="12">
        <f t="shared" si="534"/>
        <v>0</v>
      </c>
      <c r="BF147" s="12">
        <f t="shared" si="534"/>
        <v>0</v>
      </c>
      <c r="BG147" s="12">
        <f t="shared" si="534"/>
        <v>0</v>
      </c>
      <c r="BH147" s="12">
        <f t="shared" si="534"/>
        <v>0</v>
      </c>
      <c r="BI147" s="12">
        <f t="shared" si="534"/>
        <v>0</v>
      </c>
      <c r="BJ147" s="12">
        <f t="shared" si="534"/>
        <v>0</v>
      </c>
      <c r="BK147" s="12">
        <f t="shared" si="534"/>
        <v>0</v>
      </c>
      <c r="BL147" s="12">
        <f t="shared" si="534"/>
        <v>0</v>
      </c>
      <c r="BM147" s="12">
        <f t="shared" si="534"/>
        <v>0</v>
      </c>
      <c r="BN147" s="12">
        <f t="shared" si="534"/>
        <v>0</v>
      </c>
      <c r="BO147" s="12">
        <f t="shared" si="534"/>
        <v>20</v>
      </c>
      <c r="BP147" s="12">
        <f t="shared" si="534"/>
        <v>0</v>
      </c>
      <c r="BQ147" s="12">
        <f t="shared" si="534"/>
        <v>0</v>
      </c>
      <c r="BR147" s="12">
        <f t="shared" si="534"/>
        <v>0</v>
      </c>
      <c r="BS147" s="12">
        <f t="shared" si="534"/>
        <v>0</v>
      </c>
      <c r="BT147" s="12">
        <f t="shared" si="534"/>
        <v>0</v>
      </c>
      <c r="BU147" s="12">
        <f t="shared" si="534"/>
        <v>0</v>
      </c>
      <c r="BV147" s="12">
        <f t="shared" si="534"/>
        <v>0</v>
      </c>
      <c r="BW147" s="12">
        <f t="shared" si="534"/>
        <v>0</v>
      </c>
      <c r="BX147" s="12">
        <f t="shared" si="534"/>
        <v>0</v>
      </c>
      <c r="BY147" s="12">
        <f t="shared" si="534"/>
        <v>0</v>
      </c>
      <c r="BZ147" s="12">
        <f t="shared" si="534"/>
        <v>0</v>
      </c>
      <c r="CA147" s="12">
        <f t="shared" si="534"/>
        <v>0</v>
      </c>
      <c r="CB147" s="12">
        <f t="shared" si="534"/>
        <v>0</v>
      </c>
      <c r="CC147" s="12">
        <f t="shared" si="534"/>
        <v>0</v>
      </c>
      <c r="CD147" s="12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2"/>
      <c r="CQ147" s="17"/>
      <c r="CR147" s="17"/>
      <c r="CS147" s="17"/>
      <c r="CT147" s="17"/>
      <c r="CU147" s="17"/>
      <c r="CV147" s="12"/>
      <c r="CW147" s="17"/>
      <c r="CX147" s="17"/>
      <c r="CY147" s="17"/>
      <c r="CZ147" s="17"/>
      <c r="DA147" s="17"/>
      <c r="DB147" s="17"/>
      <c r="DC147" s="17"/>
      <c r="DD147" s="17"/>
      <c r="DE147" s="12"/>
      <c r="DF147" s="17"/>
      <c r="DG147" s="17"/>
      <c r="DH147" s="17"/>
      <c r="DI147" s="36">
        <f>(AT147+SUM(AU147:AX147)*1000+SUM(AY147:CC147)-SUM(CD147:DH147))</f>
        <v>62</v>
      </c>
      <c r="DJ147" s="12">
        <f t="shared" si="528"/>
        <v>3100</v>
      </c>
      <c r="DK147" s="12">
        <f t="shared" si="477"/>
        <v>0</v>
      </c>
      <c r="DL147" s="12">
        <f t="shared" si="529"/>
        <v>0</v>
      </c>
      <c r="DM147" s="12">
        <f t="shared" si="478"/>
        <v>0</v>
      </c>
      <c r="DN147" s="12">
        <f t="shared" si="530"/>
        <v>0</v>
      </c>
      <c r="DO147" s="12">
        <f t="shared" si="479"/>
        <v>0</v>
      </c>
      <c r="DP147" s="12">
        <f t="shared" si="531"/>
        <v>0</v>
      </c>
      <c r="DQ147" s="12">
        <f t="shared" si="480"/>
        <v>0</v>
      </c>
      <c r="DR147" s="12">
        <f t="shared" si="532"/>
        <v>0</v>
      </c>
      <c r="DS147" s="12">
        <f t="shared" si="481"/>
        <v>0</v>
      </c>
      <c r="DT147" s="12">
        <f t="shared" si="533"/>
        <v>0</v>
      </c>
    </row>
    <row r="148" spans="1:124" ht="14.25" customHeight="1">
      <c r="A148" s="12">
        <v>144</v>
      </c>
      <c r="B148" s="19" t="s">
        <v>179</v>
      </c>
      <c r="C148" s="14"/>
      <c r="D148" s="95"/>
      <c r="E148" s="56">
        <v>20</v>
      </c>
      <c r="F148" s="103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2">
        <f t="shared" si="380"/>
        <v>20</v>
      </c>
      <c r="AP148" s="17">
        <f>AO148*25</f>
        <v>500</v>
      </c>
      <c r="AQ148" s="12">
        <f t="shared" si="381"/>
        <v>850</v>
      </c>
      <c r="AR148" s="17"/>
      <c r="AS148" s="126">
        <f t="shared" si="311"/>
        <v>14</v>
      </c>
      <c r="AT148" s="56">
        <v>14</v>
      </c>
      <c r="AU148" s="50"/>
      <c r="AV148" s="12"/>
      <c r="AW148" s="12"/>
      <c r="AX148" s="12"/>
      <c r="AY148" s="12">
        <f t="shared" ref="AY148:AY178" si="535">J148</f>
        <v>0</v>
      </c>
      <c r="AZ148" s="12">
        <f t="shared" ref="AZ148:AZ178" si="536">K148</f>
        <v>0</v>
      </c>
      <c r="BA148" s="12">
        <f t="shared" ref="BA148:BA178" si="537">L148</f>
        <v>0</v>
      </c>
      <c r="BB148" s="12">
        <f t="shared" ref="BB148:BB178" si="538">M148</f>
        <v>0</v>
      </c>
      <c r="BC148" s="12">
        <f t="shared" ref="BC148:BC178" si="539">N148</f>
        <v>0</v>
      </c>
      <c r="BD148" s="12">
        <f t="shared" ref="BD148:BD178" si="540">O148</f>
        <v>0</v>
      </c>
      <c r="BE148" s="12">
        <f t="shared" ref="BE148:BE178" si="541">P148</f>
        <v>0</v>
      </c>
      <c r="BF148" s="12">
        <f t="shared" ref="BF148:BF178" si="542">Q148</f>
        <v>0</v>
      </c>
      <c r="BG148" s="12">
        <f t="shared" ref="BG148:BG178" si="543">R148</f>
        <v>0</v>
      </c>
      <c r="BH148" s="12">
        <f t="shared" ref="BH148:BH178" si="544">S148</f>
        <v>0</v>
      </c>
      <c r="BI148" s="12">
        <f t="shared" ref="BI148:BI178" si="545">T148</f>
        <v>0</v>
      </c>
      <c r="BJ148" s="12">
        <f t="shared" ref="BJ148:BJ178" si="546">U148</f>
        <v>0</v>
      </c>
      <c r="BK148" s="12">
        <f t="shared" ref="BK148:BK178" si="547">V148</f>
        <v>0</v>
      </c>
      <c r="BL148" s="12">
        <f t="shared" ref="BL148:BL178" si="548">W148</f>
        <v>0</v>
      </c>
      <c r="BM148" s="12">
        <f t="shared" ref="BM148:BM178" si="549">X148</f>
        <v>0</v>
      </c>
      <c r="BN148" s="12">
        <f t="shared" ref="BN148:BN178" si="550">Y148</f>
        <v>0</v>
      </c>
      <c r="BO148" s="12">
        <f t="shared" ref="BO148:BO178" si="551">Z148</f>
        <v>0</v>
      </c>
      <c r="BP148" s="12">
        <f t="shared" ref="BP148:BP178" si="552">AA148</f>
        <v>0</v>
      </c>
      <c r="BQ148" s="12">
        <f t="shared" ref="BQ148:BQ178" si="553">AB148</f>
        <v>0</v>
      </c>
      <c r="BR148" s="12">
        <f t="shared" ref="BR148:BR178" si="554">AC148</f>
        <v>0</v>
      </c>
      <c r="BS148" s="12">
        <f t="shared" ref="BS148:BS178" si="555">AD148</f>
        <v>0</v>
      </c>
      <c r="BT148" s="12">
        <f t="shared" ref="BT148:BT178" si="556">AE148</f>
        <v>0</v>
      </c>
      <c r="BU148" s="12">
        <f t="shared" ref="BU148:BU178" si="557">AF148</f>
        <v>0</v>
      </c>
      <c r="BV148" s="12">
        <f t="shared" ref="BV148:BV178" si="558">AG148</f>
        <v>0</v>
      </c>
      <c r="BW148" s="12">
        <f t="shared" ref="BW148:BW178" si="559">AH148</f>
        <v>0</v>
      </c>
      <c r="BX148" s="12">
        <f t="shared" ref="BX148:BX178" si="560">AI148</f>
        <v>0</v>
      </c>
      <c r="BY148" s="12">
        <f t="shared" ref="BY148:BY178" si="561">AJ148</f>
        <v>0</v>
      </c>
      <c r="BZ148" s="12">
        <f t="shared" ref="BZ148:BZ178" si="562">AK148</f>
        <v>0</v>
      </c>
      <c r="CA148" s="12">
        <f t="shared" ref="CA148:CA178" si="563">AL148</f>
        <v>0</v>
      </c>
      <c r="CB148" s="12">
        <f t="shared" ref="CB148:CB178" si="564">AM148</f>
        <v>0</v>
      </c>
      <c r="CC148" s="12">
        <f t="shared" ref="CC148:CC178" si="565">AN148</f>
        <v>0</v>
      </c>
      <c r="CD148" s="12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2"/>
      <c r="CQ148" s="17"/>
      <c r="CR148" s="17"/>
      <c r="CS148" s="17"/>
      <c r="CT148" s="17"/>
      <c r="CU148" s="17"/>
      <c r="CV148" s="12"/>
      <c r="CW148" s="17"/>
      <c r="CX148" s="17"/>
      <c r="CY148" s="17"/>
      <c r="CZ148" s="17"/>
      <c r="DA148" s="17"/>
      <c r="DB148" s="17"/>
      <c r="DC148" s="17"/>
      <c r="DD148" s="17"/>
      <c r="DE148" s="12"/>
      <c r="DF148" s="17"/>
      <c r="DG148" s="17"/>
      <c r="DH148" s="17"/>
      <c r="DI148" s="36">
        <f>(AT148+SUM(AU148:AX148)*500+SUM(AY148:CC148)-SUM(CD148:DH148))</f>
        <v>14</v>
      </c>
      <c r="DJ148" s="12">
        <f>DI148*25</f>
        <v>350</v>
      </c>
      <c r="DK148" s="12">
        <f t="shared" si="477"/>
        <v>0</v>
      </c>
      <c r="DL148" s="12">
        <f>DK148*25</f>
        <v>0</v>
      </c>
      <c r="DM148" s="12">
        <f t="shared" si="478"/>
        <v>0</v>
      </c>
      <c r="DN148" s="12">
        <f>DM148*25</f>
        <v>0</v>
      </c>
      <c r="DO148" s="12">
        <f t="shared" si="479"/>
        <v>0</v>
      </c>
      <c r="DP148" s="12">
        <f>DO148*25</f>
        <v>0</v>
      </c>
      <c r="DQ148" s="12">
        <f t="shared" si="480"/>
        <v>0</v>
      </c>
      <c r="DR148" s="12">
        <f>DQ148*25</f>
        <v>0</v>
      </c>
      <c r="DS148" s="12">
        <f t="shared" si="481"/>
        <v>0</v>
      </c>
      <c r="DT148" s="12">
        <f>DS148*25</f>
        <v>0</v>
      </c>
    </row>
    <row r="149" spans="1:124" ht="14.25" customHeight="1">
      <c r="A149" s="12">
        <v>145</v>
      </c>
      <c r="B149" s="19" t="s">
        <v>180</v>
      </c>
      <c r="C149" s="14"/>
      <c r="D149" s="95"/>
      <c r="E149" s="56">
        <v>5</v>
      </c>
      <c r="F149" s="103"/>
      <c r="G149" s="17">
        <v>4</v>
      </c>
      <c r="H149" s="17"/>
      <c r="I149" s="17"/>
      <c r="J149" s="17">
        <v>2</v>
      </c>
      <c r="K149" s="17"/>
      <c r="L149" s="17"/>
      <c r="M149" s="17"/>
      <c r="N149" s="17"/>
      <c r="O149" s="17"/>
      <c r="P149" s="17"/>
      <c r="Q149" s="17">
        <v>3</v>
      </c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2">
        <f t="shared" si="380"/>
        <v>4</v>
      </c>
      <c r="AP149" s="17">
        <f>AO149*1000</f>
        <v>4000</v>
      </c>
      <c r="AQ149" s="12">
        <f t="shared" si="381"/>
        <v>10000</v>
      </c>
      <c r="AR149" s="17"/>
      <c r="AS149" s="126">
        <f t="shared" si="311"/>
        <v>120</v>
      </c>
      <c r="AT149" s="56">
        <v>20</v>
      </c>
      <c r="AU149" s="50"/>
      <c r="AV149" s="12"/>
      <c r="AW149" s="12"/>
      <c r="AX149" s="12"/>
      <c r="AY149" s="12">
        <f>J149*20</f>
        <v>40</v>
      </c>
      <c r="AZ149" s="12">
        <f t="shared" ref="AZ149:CC149" si="566">K149*20</f>
        <v>0</v>
      </c>
      <c r="BA149" s="12">
        <f t="shared" si="566"/>
        <v>0</v>
      </c>
      <c r="BB149" s="12">
        <f t="shared" si="566"/>
        <v>0</v>
      </c>
      <c r="BC149" s="12">
        <f t="shared" si="566"/>
        <v>0</v>
      </c>
      <c r="BD149" s="12">
        <f t="shared" si="566"/>
        <v>0</v>
      </c>
      <c r="BE149" s="12">
        <f t="shared" si="566"/>
        <v>0</v>
      </c>
      <c r="BF149" s="12">
        <f t="shared" si="566"/>
        <v>60</v>
      </c>
      <c r="BG149" s="12">
        <f t="shared" si="566"/>
        <v>0</v>
      </c>
      <c r="BH149" s="12">
        <f t="shared" si="566"/>
        <v>0</v>
      </c>
      <c r="BI149" s="12">
        <f t="shared" si="566"/>
        <v>0</v>
      </c>
      <c r="BJ149" s="12">
        <f t="shared" si="566"/>
        <v>0</v>
      </c>
      <c r="BK149" s="12">
        <f t="shared" si="566"/>
        <v>0</v>
      </c>
      <c r="BL149" s="12">
        <f t="shared" si="566"/>
        <v>0</v>
      </c>
      <c r="BM149" s="12">
        <f t="shared" si="566"/>
        <v>0</v>
      </c>
      <c r="BN149" s="12">
        <f t="shared" si="566"/>
        <v>0</v>
      </c>
      <c r="BO149" s="12">
        <f t="shared" si="566"/>
        <v>0</v>
      </c>
      <c r="BP149" s="12">
        <f t="shared" si="566"/>
        <v>0</v>
      </c>
      <c r="BQ149" s="12">
        <f t="shared" si="566"/>
        <v>0</v>
      </c>
      <c r="BR149" s="12">
        <f t="shared" si="566"/>
        <v>0</v>
      </c>
      <c r="BS149" s="12">
        <f t="shared" si="566"/>
        <v>0</v>
      </c>
      <c r="BT149" s="12">
        <f t="shared" si="566"/>
        <v>0</v>
      </c>
      <c r="BU149" s="12">
        <f t="shared" si="566"/>
        <v>0</v>
      </c>
      <c r="BV149" s="12">
        <f t="shared" si="566"/>
        <v>0</v>
      </c>
      <c r="BW149" s="12">
        <f t="shared" si="566"/>
        <v>0</v>
      </c>
      <c r="BX149" s="12">
        <f t="shared" si="566"/>
        <v>0</v>
      </c>
      <c r="BY149" s="12">
        <f t="shared" si="566"/>
        <v>0</v>
      </c>
      <c r="BZ149" s="12">
        <f t="shared" si="566"/>
        <v>0</v>
      </c>
      <c r="CA149" s="12">
        <f t="shared" si="566"/>
        <v>0</v>
      </c>
      <c r="CB149" s="12">
        <f t="shared" si="566"/>
        <v>0</v>
      </c>
      <c r="CC149" s="12">
        <f t="shared" si="566"/>
        <v>0</v>
      </c>
      <c r="CD149" s="12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2"/>
      <c r="CQ149" s="17"/>
      <c r="CR149" s="17"/>
      <c r="CS149" s="17"/>
      <c r="CT149" s="17"/>
      <c r="CU149" s="17"/>
      <c r="CV149" s="12"/>
      <c r="CW149" s="17"/>
      <c r="CX149" s="17"/>
      <c r="CY149" s="17"/>
      <c r="CZ149" s="17"/>
      <c r="DA149" s="17"/>
      <c r="DB149" s="17"/>
      <c r="DC149" s="17"/>
      <c r="DD149" s="17"/>
      <c r="DE149" s="12"/>
      <c r="DF149" s="17"/>
      <c r="DG149" s="17"/>
      <c r="DH149" s="17"/>
      <c r="DI149" s="36">
        <f>(AT149+SUM(AU149:AX149)*1000+SUM(AY149:CC149)-SUM(CD149:DH149))</f>
        <v>120</v>
      </c>
      <c r="DJ149" s="12">
        <f>DI149*50</f>
        <v>6000</v>
      </c>
      <c r="DK149" s="12">
        <f t="shared" si="477"/>
        <v>0</v>
      </c>
      <c r="DL149" s="12">
        <f t="shared" ref="DL149:DL155" si="567">DK149*50</f>
        <v>0</v>
      </c>
      <c r="DM149" s="12">
        <f t="shared" si="478"/>
        <v>0</v>
      </c>
      <c r="DN149" s="12">
        <f t="shared" ref="DN149:DN155" si="568">DM149*50</f>
        <v>0</v>
      </c>
      <c r="DO149" s="12">
        <f t="shared" si="479"/>
        <v>0</v>
      </c>
      <c r="DP149" s="12">
        <f t="shared" ref="DP149:DP155" si="569">DO149*50</f>
        <v>0</v>
      </c>
      <c r="DQ149" s="12">
        <f t="shared" si="480"/>
        <v>0</v>
      </c>
      <c r="DR149" s="12">
        <f t="shared" ref="DR149:DR155" si="570">DQ149*50</f>
        <v>0</v>
      </c>
      <c r="DS149" s="12">
        <f t="shared" si="481"/>
        <v>0</v>
      </c>
      <c r="DT149" s="12">
        <f>DS149*50</f>
        <v>0</v>
      </c>
    </row>
    <row r="150" spans="1:124" ht="14.25" customHeight="1">
      <c r="A150" s="12">
        <v>146</v>
      </c>
      <c r="B150" s="19" t="s">
        <v>181</v>
      </c>
      <c r="C150" s="14"/>
      <c r="D150" s="95"/>
      <c r="E150" s="56">
        <v>16</v>
      </c>
      <c r="F150" s="103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2">
        <f t="shared" si="380"/>
        <v>16</v>
      </c>
      <c r="AP150" s="151">
        <f>(AO150*50)+(AO151*50)</f>
        <v>1400</v>
      </c>
      <c r="AQ150" s="151">
        <f t="shared" si="381"/>
        <v>1900</v>
      </c>
      <c r="AR150" s="17"/>
      <c r="AS150" s="126">
        <f t="shared" si="311"/>
        <v>4</v>
      </c>
      <c r="AT150" s="56">
        <v>4</v>
      </c>
      <c r="AU150" s="50"/>
      <c r="AV150" s="12"/>
      <c r="AW150" s="12"/>
      <c r="AX150" s="12"/>
      <c r="AY150" s="12">
        <f t="shared" si="535"/>
        <v>0</v>
      </c>
      <c r="AZ150" s="12">
        <f t="shared" si="536"/>
        <v>0</v>
      </c>
      <c r="BA150" s="12">
        <f t="shared" si="537"/>
        <v>0</v>
      </c>
      <c r="BB150" s="12">
        <f t="shared" si="538"/>
        <v>0</v>
      </c>
      <c r="BC150" s="12">
        <f t="shared" si="539"/>
        <v>0</v>
      </c>
      <c r="BD150" s="12">
        <f t="shared" si="540"/>
        <v>0</v>
      </c>
      <c r="BE150" s="12">
        <f t="shared" si="541"/>
        <v>0</v>
      </c>
      <c r="BF150" s="12">
        <f t="shared" si="542"/>
        <v>0</v>
      </c>
      <c r="BG150" s="12">
        <f t="shared" si="543"/>
        <v>0</v>
      </c>
      <c r="BH150" s="12">
        <f t="shared" si="544"/>
        <v>0</v>
      </c>
      <c r="BI150" s="12">
        <f t="shared" si="545"/>
        <v>0</v>
      </c>
      <c r="BJ150" s="12">
        <f t="shared" si="546"/>
        <v>0</v>
      </c>
      <c r="BK150" s="12">
        <f t="shared" si="547"/>
        <v>0</v>
      </c>
      <c r="BL150" s="12">
        <f t="shared" si="548"/>
        <v>0</v>
      </c>
      <c r="BM150" s="12">
        <f t="shared" si="549"/>
        <v>0</v>
      </c>
      <c r="BN150" s="12">
        <f t="shared" si="550"/>
        <v>0</v>
      </c>
      <c r="BO150" s="12">
        <f t="shared" si="551"/>
        <v>0</v>
      </c>
      <c r="BP150" s="12">
        <f t="shared" si="552"/>
        <v>0</v>
      </c>
      <c r="BQ150" s="12">
        <f t="shared" si="553"/>
        <v>0</v>
      </c>
      <c r="BR150" s="12">
        <f t="shared" si="554"/>
        <v>0</v>
      </c>
      <c r="BS150" s="12">
        <f t="shared" si="555"/>
        <v>0</v>
      </c>
      <c r="BT150" s="12">
        <f t="shared" si="556"/>
        <v>0</v>
      </c>
      <c r="BU150" s="12">
        <f t="shared" si="557"/>
        <v>0</v>
      </c>
      <c r="BV150" s="12">
        <f t="shared" si="558"/>
        <v>0</v>
      </c>
      <c r="BW150" s="12">
        <f t="shared" si="559"/>
        <v>0</v>
      </c>
      <c r="BX150" s="12">
        <f t="shared" si="560"/>
        <v>0</v>
      </c>
      <c r="BY150" s="12">
        <f t="shared" si="561"/>
        <v>0</v>
      </c>
      <c r="BZ150" s="12">
        <f t="shared" si="562"/>
        <v>0</v>
      </c>
      <c r="CA150" s="12">
        <f t="shared" si="563"/>
        <v>0</v>
      </c>
      <c r="CB150" s="12">
        <f t="shared" si="564"/>
        <v>0</v>
      </c>
      <c r="CC150" s="12">
        <f t="shared" si="565"/>
        <v>0</v>
      </c>
      <c r="CD150" s="12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2"/>
      <c r="CQ150" s="17"/>
      <c r="CR150" s="17"/>
      <c r="CS150" s="17"/>
      <c r="CT150" s="17"/>
      <c r="CU150" s="17"/>
      <c r="CV150" s="12"/>
      <c r="CW150" s="17"/>
      <c r="CX150" s="17"/>
      <c r="CY150" s="17"/>
      <c r="CZ150" s="17"/>
      <c r="DA150" s="17"/>
      <c r="DB150" s="17"/>
      <c r="DC150" s="17"/>
      <c r="DD150" s="17"/>
      <c r="DE150" s="12"/>
      <c r="DF150" s="17"/>
      <c r="DG150" s="17"/>
      <c r="DH150" s="17"/>
      <c r="DI150" s="36">
        <f>(AT150+SUM(AU150:AX150)*1000+SUM(AY150:CC150)-SUM(CD150:DH150))</f>
        <v>4</v>
      </c>
      <c r="DJ150" s="151">
        <f>(DI150*50)+(DI151*50)</f>
        <v>500</v>
      </c>
      <c r="DK150" s="12">
        <f t="shared" si="477"/>
        <v>0</v>
      </c>
      <c r="DL150" s="12">
        <f t="shared" si="567"/>
        <v>0</v>
      </c>
      <c r="DM150" s="12">
        <f t="shared" si="478"/>
        <v>0</v>
      </c>
      <c r="DN150" s="12">
        <f t="shared" si="568"/>
        <v>0</v>
      </c>
      <c r="DO150" s="12">
        <f t="shared" si="479"/>
        <v>0</v>
      </c>
      <c r="DP150" s="12">
        <f t="shared" si="569"/>
        <v>0</v>
      </c>
      <c r="DQ150" s="12">
        <f t="shared" si="480"/>
        <v>0</v>
      </c>
      <c r="DR150" s="12">
        <f t="shared" si="570"/>
        <v>0</v>
      </c>
      <c r="DS150" s="12">
        <f t="shared" si="481"/>
        <v>0</v>
      </c>
      <c r="DT150" s="151">
        <f>(DS150*50)+(DS151*50)</f>
        <v>0</v>
      </c>
    </row>
    <row r="151" spans="1:124" ht="14.25" customHeight="1">
      <c r="A151" s="12">
        <v>147</v>
      </c>
      <c r="B151" s="19" t="s">
        <v>182</v>
      </c>
      <c r="C151" s="14"/>
      <c r="D151" s="95"/>
      <c r="E151" s="56">
        <v>12</v>
      </c>
      <c r="F151" s="103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2">
        <f t="shared" si="380"/>
        <v>12</v>
      </c>
      <c r="AP151" s="154"/>
      <c r="AQ151" s="152"/>
      <c r="AR151" s="17"/>
      <c r="AS151" s="126">
        <f t="shared" si="311"/>
        <v>6</v>
      </c>
      <c r="AT151" s="56">
        <v>6</v>
      </c>
      <c r="AU151" s="50"/>
      <c r="AV151" s="12"/>
      <c r="AW151" s="12"/>
      <c r="AX151" s="12"/>
      <c r="AY151" s="12">
        <f t="shared" si="535"/>
        <v>0</v>
      </c>
      <c r="AZ151" s="12">
        <f t="shared" si="536"/>
        <v>0</v>
      </c>
      <c r="BA151" s="12">
        <f t="shared" si="537"/>
        <v>0</v>
      </c>
      <c r="BB151" s="12">
        <f t="shared" si="538"/>
        <v>0</v>
      </c>
      <c r="BC151" s="12">
        <f t="shared" si="539"/>
        <v>0</v>
      </c>
      <c r="BD151" s="12">
        <f t="shared" si="540"/>
        <v>0</v>
      </c>
      <c r="BE151" s="12">
        <f t="shared" si="541"/>
        <v>0</v>
      </c>
      <c r="BF151" s="12">
        <f t="shared" si="542"/>
        <v>0</v>
      </c>
      <c r="BG151" s="12">
        <f t="shared" si="543"/>
        <v>0</v>
      </c>
      <c r="BH151" s="12">
        <f t="shared" si="544"/>
        <v>0</v>
      </c>
      <c r="BI151" s="12">
        <f t="shared" si="545"/>
        <v>0</v>
      </c>
      <c r="BJ151" s="12">
        <f t="shared" si="546"/>
        <v>0</v>
      </c>
      <c r="BK151" s="12">
        <f t="shared" si="547"/>
        <v>0</v>
      </c>
      <c r="BL151" s="12">
        <f t="shared" si="548"/>
        <v>0</v>
      </c>
      <c r="BM151" s="12">
        <f t="shared" si="549"/>
        <v>0</v>
      </c>
      <c r="BN151" s="12">
        <f t="shared" si="550"/>
        <v>0</v>
      </c>
      <c r="BO151" s="12">
        <f t="shared" si="551"/>
        <v>0</v>
      </c>
      <c r="BP151" s="12">
        <f t="shared" si="552"/>
        <v>0</v>
      </c>
      <c r="BQ151" s="12">
        <f t="shared" si="553"/>
        <v>0</v>
      </c>
      <c r="BR151" s="12">
        <f t="shared" si="554"/>
        <v>0</v>
      </c>
      <c r="BS151" s="12">
        <f t="shared" si="555"/>
        <v>0</v>
      </c>
      <c r="BT151" s="12">
        <f t="shared" si="556"/>
        <v>0</v>
      </c>
      <c r="BU151" s="12">
        <f t="shared" si="557"/>
        <v>0</v>
      </c>
      <c r="BV151" s="12">
        <f t="shared" si="558"/>
        <v>0</v>
      </c>
      <c r="BW151" s="12">
        <f t="shared" si="559"/>
        <v>0</v>
      </c>
      <c r="BX151" s="12">
        <f t="shared" si="560"/>
        <v>0</v>
      </c>
      <c r="BY151" s="12">
        <f t="shared" si="561"/>
        <v>0</v>
      </c>
      <c r="BZ151" s="12">
        <f t="shared" si="562"/>
        <v>0</v>
      </c>
      <c r="CA151" s="12">
        <f t="shared" si="563"/>
        <v>0</v>
      </c>
      <c r="CB151" s="12">
        <f t="shared" si="564"/>
        <v>0</v>
      </c>
      <c r="CC151" s="12">
        <f t="shared" si="565"/>
        <v>0</v>
      </c>
      <c r="CD151" s="12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2"/>
      <c r="CQ151" s="17"/>
      <c r="CR151" s="17"/>
      <c r="CS151" s="17"/>
      <c r="CT151" s="17"/>
      <c r="CU151" s="17"/>
      <c r="CV151" s="12"/>
      <c r="CW151" s="17"/>
      <c r="CX151" s="17"/>
      <c r="CY151" s="17"/>
      <c r="CZ151" s="17"/>
      <c r="DA151" s="17"/>
      <c r="DB151" s="17"/>
      <c r="DC151" s="17"/>
      <c r="DD151" s="17"/>
      <c r="DE151" s="12"/>
      <c r="DF151" s="17"/>
      <c r="DG151" s="17"/>
      <c r="DH151" s="17"/>
      <c r="DI151" s="36">
        <f t="shared" ref="DI151" si="571">(AT151+SUM(AU151:AX151)*1000+SUM(AY151:CC151)-SUM(CD151:DH151))</f>
        <v>6</v>
      </c>
      <c r="DJ151" s="152"/>
      <c r="DK151" s="12">
        <f t="shared" si="477"/>
        <v>0</v>
      </c>
      <c r="DL151" s="12">
        <f t="shared" si="567"/>
        <v>0</v>
      </c>
      <c r="DM151" s="12">
        <f t="shared" si="478"/>
        <v>0</v>
      </c>
      <c r="DN151" s="12">
        <f t="shared" si="568"/>
        <v>0</v>
      </c>
      <c r="DO151" s="12">
        <f t="shared" si="479"/>
        <v>0</v>
      </c>
      <c r="DP151" s="12">
        <f t="shared" si="569"/>
        <v>0</v>
      </c>
      <c r="DQ151" s="12">
        <f t="shared" si="480"/>
        <v>0</v>
      </c>
      <c r="DR151" s="12">
        <f t="shared" si="570"/>
        <v>0</v>
      </c>
      <c r="DS151" s="12">
        <f t="shared" si="481"/>
        <v>0</v>
      </c>
      <c r="DT151" s="152"/>
    </row>
    <row r="152" spans="1:124" ht="14.25" customHeight="1">
      <c r="A152" s="12">
        <v>148</v>
      </c>
      <c r="B152" s="19" t="s">
        <v>183</v>
      </c>
      <c r="C152" s="14"/>
      <c r="D152" s="95"/>
      <c r="E152" s="56">
        <v>60</v>
      </c>
      <c r="F152" s="103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2">
        <f t="shared" si="380"/>
        <v>60</v>
      </c>
      <c r="AP152" s="17">
        <f>AO152*50</f>
        <v>3000</v>
      </c>
      <c r="AQ152" s="12">
        <f>AP152+DJ152</f>
        <v>6850</v>
      </c>
      <c r="AR152" s="17"/>
      <c r="AS152" s="126">
        <f t="shared" si="311"/>
        <v>77</v>
      </c>
      <c r="AT152" s="56">
        <v>77</v>
      </c>
      <c r="AU152" s="50"/>
      <c r="AV152" s="12"/>
      <c r="AW152" s="12"/>
      <c r="AX152" s="12"/>
      <c r="AY152" s="12">
        <f t="shared" si="535"/>
        <v>0</v>
      </c>
      <c r="AZ152" s="12">
        <f t="shared" si="536"/>
        <v>0</v>
      </c>
      <c r="BA152" s="12">
        <f t="shared" si="537"/>
        <v>0</v>
      </c>
      <c r="BB152" s="12">
        <f t="shared" si="538"/>
        <v>0</v>
      </c>
      <c r="BC152" s="12">
        <f t="shared" si="539"/>
        <v>0</v>
      </c>
      <c r="BD152" s="12">
        <f t="shared" si="540"/>
        <v>0</v>
      </c>
      <c r="BE152" s="12">
        <f t="shared" si="541"/>
        <v>0</v>
      </c>
      <c r="BF152" s="12">
        <f t="shared" si="542"/>
        <v>0</v>
      </c>
      <c r="BG152" s="12">
        <f t="shared" si="543"/>
        <v>0</v>
      </c>
      <c r="BH152" s="12">
        <f t="shared" si="544"/>
        <v>0</v>
      </c>
      <c r="BI152" s="12">
        <f t="shared" si="545"/>
        <v>0</v>
      </c>
      <c r="BJ152" s="12">
        <f t="shared" si="546"/>
        <v>0</v>
      </c>
      <c r="BK152" s="12">
        <f t="shared" si="547"/>
        <v>0</v>
      </c>
      <c r="BL152" s="12">
        <f t="shared" si="548"/>
        <v>0</v>
      </c>
      <c r="BM152" s="12">
        <f t="shared" si="549"/>
        <v>0</v>
      </c>
      <c r="BN152" s="12">
        <f t="shared" si="550"/>
        <v>0</v>
      </c>
      <c r="BO152" s="12">
        <f t="shared" si="551"/>
        <v>0</v>
      </c>
      <c r="BP152" s="12">
        <f t="shared" si="552"/>
        <v>0</v>
      </c>
      <c r="BQ152" s="12">
        <f t="shared" si="553"/>
        <v>0</v>
      </c>
      <c r="BR152" s="12">
        <f t="shared" si="554"/>
        <v>0</v>
      </c>
      <c r="BS152" s="12">
        <f t="shared" si="555"/>
        <v>0</v>
      </c>
      <c r="BT152" s="12">
        <f t="shared" si="556"/>
        <v>0</v>
      </c>
      <c r="BU152" s="12">
        <f t="shared" si="557"/>
        <v>0</v>
      </c>
      <c r="BV152" s="12">
        <f t="shared" si="558"/>
        <v>0</v>
      </c>
      <c r="BW152" s="12">
        <f t="shared" si="559"/>
        <v>0</v>
      </c>
      <c r="BX152" s="12">
        <f t="shared" si="560"/>
        <v>0</v>
      </c>
      <c r="BY152" s="12">
        <f t="shared" si="561"/>
        <v>0</v>
      </c>
      <c r="BZ152" s="12">
        <f t="shared" si="562"/>
        <v>0</v>
      </c>
      <c r="CA152" s="12">
        <f t="shared" si="563"/>
        <v>0</v>
      </c>
      <c r="CB152" s="12">
        <f t="shared" si="564"/>
        <v>0</v>
      </c>
      <c r="CC152" s="12">
        <f t="shared" si="565"/>
        <v>0</v>
      </c>
      <c r="CD152" s="12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2"/>
      <c r="CQ152" s="17"/>
      <c r="CR152" s="17"/>
      <c r="CS152" s="17"/>
      <c r="CT152" s="17"/>
      <c r="CU152" s="17"/>
      <c r="CV152" s="12"/>
      <c r="CW152" s="17"/>
      <c r="CX152" s="17"/>
      <c r="CY152" s="17"/>
      <c r="CZ152" s="17"/>
      <c r="DA152" s="17"/>
      <c r="DB152" s="17"/>
      <c r="DC152" s="17"/>
      <c r="DD152" s="17"/>
      <c r="DE152" s="12"/>
      <c r="DF152" s="17"/>
      <c r="DG152" s="17"/>
      <c r="DH152" s="17"/>
      <c r="DI152" s="36">
        <f>(AT152+SUM(AU152:AX152)*1000+SUM(AY152:CC152)-SUM(CD152:DH152))</f>
        <v>77</v>
      </c>
      <c r="DJ152" s="12">
        <f>DI152*50</f>
        <v>3850</v>
      </c>
      <c r="DK152" s="12">
        <f t="shared" si="477"/>
        <v>0</v>
      </c>
      <c r="DL152" s="12">
        <f t="shared" si="567"/>
        <v>0</v>
      </c>
      <c r="DM152" s="12">
        <f t="shared" si="478"/>
        <v>0</v>
      </c>
      <c r="DN152" s="12">
        <f t="shared" si="568"/>
        <v>0</v>
      </c>
      <c r="DO152" s="12">
        <f t="shared" si="479"/>
        <v>0</v>
      </c>
      <c r="DP152" s="12">
        <f t="shared" si="569"/>
        <v>0</v>
      </c>
      <c r="DQ152" s="12">
        <f t="shared" si="480"/>
        <v>0</v>
      </c>
      <c r="DR152" s="12">
        <f t="shared" si="570"/>
        <v>0</v>
      </c>
      <c r="DS152" s="12">
        <f t="shared" si="481"/>
        <v>0</v>
      </c>
      <c r="DT152" s="12">
        <f>DS152*50</f>
        <v>0</v>
      </c>
    </row>
    <row r="153" spans="1:124" ht="14.25" customHeight="1">
      <c r="A153" s="12">
        <v>149</v>
      </c>
      <c r="B153" s="19" t="s">
        <v>184</v>
      </c>
      <c r="C153" s="14"/>
      <c r="D153" s="95"/>
      <c r="E153" s="56">
        <v>80</v>
      </c>
      <c r="F153" s="103"/>
      <c r="G153" s="17">
        <v>40</v>
      </c>
      <c r="H153" s="17"/>
      <c r="I153" s="17"/>
      <c r="J153" s="17"/>
      <c r="K153" s="17"/>
      <c r="L153" s="17"/>
      <c r="M153" s="17"/>
      <c r="N153" s="17"/>
      <c r="O153" s="17"/>
      <c r="P153" s="17"/>
      <c r="Q153" s="17">
        <v>40</v>
      </c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2">
        <f t="shared" si="380"/>
        <v>80</v>
      </c>
      <c r="AP153" s="151">
        <f>(AO153*50)+(AO154*50)</f>
        <v>6000</v>
      </c>
      <c r="AQ153" s="151">
        <f>AP153+DJ153</f>
        <v>10500</v>
      </c>
      <c r="AR153" s="17"/>
      <c r="AS153" s="126">
        <f t="shared" si="311"/>
        <v>56</v>
      </c>
      <c r="AT153" s="56">
        <v>16</v>
      </c>
      <c r="AU153" s="50"/>
      <c r="AV153" s="12"/>
      <c r="AW153" s="12"/>
      <c r="AX153" s="12"/>
      <c r="AY153" s="12">
        <f t="shared" si="535"/>
        <v>0</v>
      </c>
      <c r="AZ153" s="12">
        <f t="shared" si="536"/>
        <v>0</v>
      </c>
      <c r="BA153" s="12">
        <f t="shared" si="537"/>
        <v>0</v>
      </c>
      <c r="BB153" s="12">
        <f t="shared" si="538"/>
        <v>0</v>
      </c>
      <c r="BC153" s="12">
        <f t="shared" si="539"/>
        <v>0</v>
      </c>
      <c r="BD153" s="12">
        <f t="shared" si="540"/>
        <v>0</v>
      </c>
      <c r="BE153" s="12">
        <f t="shared" si="541"/>
        <v>0</v>
      </c>
      <c r="BF153" s="12">
        <f t="shared" si="542"/>
        <v>40</v>
      </c>
      <c r="BG153" s="12">
        <f t="shared" si="543"/>
        <v>0</v>
      </c>
      <c r="BH153" s="12">
        <f t="shared" si="544"/>
        <v>0</v>
      </c>
      <c r="BI153" s="12">
        <f t="shared" si="545"/>
        <v>0</v>
      </c>
      <c r="BJ153" s="12">
        <f t="shared" si="546"/>
        <v>0</v>
      </c>
      <c r="BK153" s="12">
        <f t="shared" si="547"/>
        <v>0</v>
      </c>
      <c r="BL153" s="12">
        <f t="shared" si="548"/>
        <v>0</v>
      </c>
      <c r="BM153" s="12">
        <f t="shared" si="549"/>
        <v>0</v>
      </c>
      <c r="BN153" s="12">
        <f t="shared" si="550"/>
        <v>0</v>
      </c>
      <c r="BO153" s="12">
        <f t="shared" si="551"/>
        <v>0</v>
      </c>
      <c r="BP153" s="12">
        <f t="shared" si="552"/>
        <v>0</v>
      </c>
      <c r="BQ153" s="12">
        <f t="shared" si="553"/>
        <v>0</v>
      </c>
      <c r="BR153" s="12">
        <f t="shared" si="554"/>
        <v>0</v>
      </c>
      <c r="BS153" s="12">
        <f t="shared" si="555"/>
        <v>0</v>
      </c>
      <c r="BT153" s="12">
        <f t="shared" si="556"/>
        <v>0</v>
      </c>
      <c r="BU153" s="12">
        <f t="shared" si="557"/>
        <v>0</v>
      </c>
      <c r="BV153" s="12">
        <f t="shared" si="558"/>
        <v>0</v>
      </c>
      <c r="BW153" s="12">
        <f t="shared" si="559"/>
        <v>0</v>
      </c>
      <c r="BX153" s="12">
        <f t="shared" si="560"/>
        <v>0</v>
      </c>
      <c r="BY153" s="12">
        <f t="shared" si="561"/>
        <v>0</v>
      </c>
      <c r="BZ153" s="12">
        <f t="shared" si="562"/>
        <v>0</v>
      </c>
      <c r="CA153" s="12">
        <f t="shared" si="563"/>
        <v>0</v>
      </c>
      <c r="CB153" s="12">
        <f t="shared" si="564"/>
        <v>0</v>
      </c>
      <c r="CC153" s="12">
        <f t="shared" si="565"/>
        <v>0</v>
      </c>
      <c r="CD153" s="12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2"/>
      <c r="CQ153" s="17"/>
      <c r="CR153" s="17"/>
      <c r="CS153" s="17"/>
      <c r="CT153" s="17"/>
      <c r="CU153" s="17"/>
      <c r="CV153" s="12"/>
      <c r="CW153" s="17"/>
      <c r="CX153" s="17"/>
      <c r="CY153" s="17"/>
      <c r="CZ153" s="17"/>
      <c r="DA153" s="17"/>
      <c r="DB153" s="17"/>
      <c r="DC153" s="17"/>
      <c r="DD153" s="17"/>
      <c r="DE153" s="12"/>
      <c r="DF153" s="17"/>
      <c r="DG153" s="17"/>
      <c r="DH153" s="17"/>
      <c r="DI153" s="36">
        <f>(AT153+SUM(AU153:AX153)*500+SUM(AY153:CC153)-SUM(CD153:DH153))</f>
        <v>56</v>
      </c>
      <c r="DJ153" s="151">
        <f>(DI153*50)+(DI154*50)</f>
        <v>4500</v>
      </c>
      <c r="DK153" s="12">
        <f t="shared" si="477"/>
        <v>0</v>
      </c>
      <c r="DL153" s="12">
        <f t="shared" si="567"/>
        <v>0</v>
      </c>
      <c r="DM153" s="12">
        <f t="shared" si="478"/>
        <v>0</v>
      </c>
      <c r="DN153" s="12">
        <f t="shared" si="568"/>
        <v>0</v>
      </c>
      <c r="DO153" s="12">
        <f t="shared" si="479"/>
        <v>0</v>
      </c>
      <c r="DP153" s="12">
        <f t="shared" si="569"/>
        <v>0</v>
      </c>
      <c r="DQ153" s="12">
        <f t="shared" si="480"/>
        <v>0</v>
      </c>
      <c r="DR153" s="12">
        <f t="shared" si="570"/>
        <v>0</v>
      </c>
      <c r="DS153" s="12">
        <f t="shared" si="481"/>
        <v>0</v>
      </c>
      <c r="DT153" s="151">
        <f>(DS153*50)+(DS154*50)</f>
        <v>0</v>
      </c>
    </row>
    <row r="154" spans="1:124" ht="14.25" customHeight="1">
      <c r="A154" s="12">
        <v>150</v>
      </c>
      <c r="B154" s="19" t="s">
        <v>185</v>
      </c>
      <c r="C154" s="14"/>
      <c r="D154" s="95"/>
      <c r="E154" s="56">
        <v>40</v>
      </c>
      <c r="F154" s="103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2">
        <f t="shared" si="380"/>
        <v>40</v>
      </c>
      <c r="AP154" s="152"/>
      <c r="AQ154" s="152"/>
      <c r="AR154" s="17"/>
      <c r="AS154" s="126">
        <f t="shared" si="311"/>
        <v>34</v>
      </c>
      <c r="AT154" s="56">
        <v>34</v>
      </c>
      <c r="AU154" s="50"/>
      <c r="AV154" s="12"/>
      <c r="AW154" s="12"/>
      <c r="AX154" s="12"/>
      <c r="AY154" s="12">
        <f t="shared" si="535"/>
        <v>0</v>
      </c>
      <c r="AZ154" s="12">
        <f t="shared" si="536"/>
        <v>0</v>
      </c>
      <c r="BA154" s="12">
        <f t="shared" si="537"/>
        <v>0</v>
      </c>
      <c r="BB154" s="12">
        <f t="shared" si="538"/>
        <v>0</v>
      </c>
      <c r="BC154" s="12">
        <f t="shared" si="539"/>
        <v>0</v>
      </c>
      <c r="BD154" s="12">
        <f t="shared" si="540"/>
        <v>0</v>
      </c>
      <c r="BE154" s="12">
        <f t="shared" si="541"/>
        <v>0</v>
      </c>
      <c r="BF154" s="12">
        <f t="shared" si="542"/>
        <v>0</v>
      </c>
      <c r="BG154" s="12">
        <f t="shared" si="543"/>
        <v>0</v>
      </c>
      <c r="BH154" s="12">
        <f t="shared" si="544"/>
        <v>0</v>
      </c>
      <c r="BI154" s="12">
        <f t="shared" si="545"/>
        <v>0</v>
      </c>
      <c r="BJ154" s="12">
        <f t="shared" si="546"/>
        <v>0</v>
      </c>
      <c r="BK154" s="12">
        <f t="shared" si="547"/>
        <v>0</v>
      </c>
      <c r="BL154" s="12">
        <f t="shared" si="548"/>
        <v>0</v>
      </c>
      <c r="BM154" s="12">
        <f t="shared" si="549"/>
        <v>0</v>
      </c>
      <c r="BN154" s="12">
        <f t="shared" si="550"/>
        <v>0</v>
      </c>
      <c r="BO154" s="12">
        <f t="shared" si="551"/>
        <v>0</v>
      </c>
      <c r="BP154" s="12">
        <f t="shared" si="552"/>
        <v>0</v>
      </c>
      <c r="BQ154" s="12">
        <f t="shared" si="553"/>
        <v>0</v>
      </c>
      <c r="BR154" s="12">
        <f t="shared" si="554"/>
        <v>0</v>
      </c>
      <c r="BS154" s="12">
        <f t="shared" si="555"/>
        <v>0</v>
      </c>
      <c r="BT154" s="12">
        <f t="shared" si="556"/>
        <v>0</v>
      </c>
      <c r="BU154" s="12">
        <f t="shared" si="557"/>
        <v>0</v>
      </c>
      <c r="BV154" s="12">
        <f t="shared" si="558"/>
        <v>0</v>
      </c>
      <c r="BW154" s="12">
        <f t="shared" si="559"/>
        <v>0</v>
      </c>
      <c r="BX154" s="12">
        <f t="shared" si="560"/>
        <v>0</v>
      </c>
      <c r="BY154" s="12">
        <f t="shared" si="561"/>
        <v>0</v>
      </c>
      <c r="BZ154" s="12">
        <f t="shared" si="562"/>
        <v>0</v>
      </c>
      <c r="CA154" s="12">
        <f t="shared" si="563"/>
        <v>0</v>
      </c>
      <c r="CB154" s="12">
        <f t="shared" si="564"/>
        <v>0</v>
      </c>
      <c r="CC154" s="12">
        <f t="shared" si="565"/>
        <v>0</v>
      </c>
      <c r="CD154" s="12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2"/>
      <c r="CQ154" s="17"/>
      <c r="CR154" s="17"/>
      <c r="CS154" s="17"/>
      <c r="CT154" s="17"/>
      <c r="CU154" s="17"/>
      <c r="CV154" s="12"/>
      <c r="CW154" s="17"/>
      <c r="CX154" s="17"/>
      <c r="CY154" s="17"/>
      <c r="CZ154" s="17"/>
      <c r="DA154" s="17"/>
      <c r="DB154" s="17"/>
      <c r="DC154" s="17"/>
      <c r="DD154" s="17"/>
      <c r="DE154" s="12"/>
      <c r="DF154" s="17"/>
      <c r="DG154" s="17"/>
      <c r="DH154" s="17"/>
      <c r="DI154" s="36">
        <f>(AT154+SUM(AU154:AX154)*1000+SUM(AY154:CC154)-SUM(CD154:DH154))</f>
        <v>34</v>
      </c>
      <c r="DJ154" s="152"/>
      <c r="DK154" s="12">
        <f t="shared" si="477"/>
        <v>0</v>
      </c>
      <c r="DL154" s="12">
        <f t="shared" si="567"/>
        <v>0</v>
      </c>
      <c r="DM154" s="12">
        <f t="shared" si="478"/>
        <v>0</v>
      </c>
      <c r="DN154" s="12">
        <f t="shared" si="568"/>
        <v>0</v>
      </c>
      <c r="DO154" s="12">
        <f t="shared" si="479"/>
        <v>0</v>
      </c>
      <c r="DP154" s="12">
        <f t="shared" si="569"/>
        <v>0</v>
      </c>
      <c r="DQ154" s="12">
        <f t="shared" si="480"/>
        <v>0</v>
      </c>
      <c r="DR154" s="12">
        <f t="shared" si="570"/>
        <v>0</v>
      </c>
      <c r="DS154" s="12">
        <f t="shared" si="481"/>
        <v>0</v>
      </c>
      <c r="DT154" s="152"/>
    </row>
    <row r="155" spans="1:124" ht="14.25" customHeight="1">
      <c r="A155" s="12">
        <v>151</v>
      </c>
      <c r="B155" s="19" t="s">
        <v>186</v>
      </c>
      <c r="C155" s="14"/>
      <c r="D155" s="95"/>
      <c r="E155" s="56">
        <v>80</v>
      </c>
      <c r="F155" s="103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2">
        <f t="shared" si="380"/>
        <v>80</v>
      </c>
      <c r="AP155" s="17">
        <f>AO155*50</f>
        <v>4000</v>
      </c>
      <c r="AQ155" s="12">
        <f t="shared" ref="AQ155:AQ169" si="572">AP155+DJ155</f>
        <v>4800</v>
      </c>
      <c r="AR155" s="17"/>
      <c r="AS155" s="126">
        <f t="shared" si="311"/>
        <v>16</v>
      </c>
      <c r="AT155" s="56">
        <v>16</v>
      </c>
      <c r="AU155" s="50"/>
      <c r="AV155" s="12"/>
      <c r="AW155" s="12"/>
      <c r="AX155" s="12"/>
      <c r="AY155" s="12">
        <f t="shared" si="535"/>
        <v>0</v>
      </c>
      <c r="AZ155" s="12">
        <f t="shared" si="536"/>
        <v>0</v>
      </c>
      <c r="BA155" s="12">
        <f t="shared" si="537"/>
        <v>0</v>
      </c>
      <c r="BB155" s="12">
        <f t="shared" si="538"/>
        <v>0</v>
      </c>
      <c r="BC155" s="12">
        <f t="shared" si="539"/>
        <v>0</v>
      </c>
      <c r="BD155" s="12">
        <f t="shared" si="540"/>
        <v>0</v>
      </c>
      <c r="BE155" s="12">
        <f t="shared" si="541"/>
        <v>0</v>
      </c>
      <c r="BF155" s="12">
        <f t="shared" si="542"/>
        <v>0</v>
      </c>
      <c r="BG155" s="12">
        <f t="shared" si="543"/>
        <v>0</v>
      </c>
      <c r="BH155" s="12">
        <f t="shared" si="544"/>
        <v>0</v>
      </c>
      <c r="BI155" s="12">
        <f t="shared" si="545"/>
        <v>0</v>
      </c>
      <c r="BJ155" s="12">
        <f t="shared" si="546"/>
        <v>0</v>
      </c>
      <c r="BK155" s="12">
        <f t="shared" si="547"/>
        <v>0</v>
      </c>
      <c r="BL155" s="12">
        <f t="shared" si="548"/>
        <v>0</v>
      </c>
      <c r="BM155" s="12">
        <f t="shared" si="549"/>
        <v>0</v>
      </c>
      <c r="BN155" s="12">
        <f t="shared" si="550"/>
        <v>0</v>
      </c>
      <c r="BO155" s="12">
        <f t="shared" si="551"/>
        <v>0</v>
      </c>
      <c r="BP155" s="12">
        <f t="shared" si="552"/>
        <v>0</v>
      </c>
      <c r="BQ155" s="12">
        <f t="shared" si="553"/>
        <v>0</v>
      </c>
      <c r="BR155" s="12">
        <f t="shared" si="554"/>
        <v>0</v>
      </c>
      <c r="BS155" s="12">
        <f t="shared" si="555"/>
        <v>0</v>
      </c>
      <c r="BT155" s="12">
        <f t="shared" si="556"/>
        <v>0</v>
      </c>
      <c r="BU155" s="12">
        <f t="shared" si="557"/>
        <v>0</v>
      </c>
      <c r="BV155" s="12">
        <f t="shared" si="558"/>
        <v>0</v>
      </c>
      <c r="BW155" s="12">
        <f t="shared" si="559"/>
        <v>0</v>
      </c>
      <c r="BX155" s="12">
        <f t="shared" si="560"/>
        <v>0</v>
      </c>
      <c r="BY155" s="12">
        <f t="shared" si="561"/>
        <v>0</v>
      </c>
      <c r="BZ155" s="12">
        <f t="shared" si="562"/>
        <v>0</v>
      </c>
      <c r="CA155" s="12">
        <f t="shared" si="563"/>
        <v>0</v>
      </c>
      <c r="CB155" s="12">
        <f t="shared" si="564"/>
        <v>0</v>
      </c>
      <c r="CC155" s="12">
        <f t="shared" si="565"/>
        <v>0</v>
      </c>
      <c r="CD155" s="12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2"/>
      <c r="CQ155" s="17"/>
      <c r="CR155" s="17"/>
      <c r="CS155" s="17"/>
      <c r="CT155" s="17"/>
      <c r="CU155" s="17"/>
      <c r="CV155" s="12"/>
      <c r="CW155" s="17"/>
      <c r="CX155" s="17"/>
      <c r="CY155" s="17"/>
      <c r="CZ155" s="17"/>
      <c r="DA155" s="17"/>
      <c r="DB155" s="17"/>
      <c r="DC155" s="17"/>
      <c r="DD155" s="17"/>
      <c r="DE155" s="12"/>
      <c r="DF155" s="17"/>
      <c r="DG155" s="17"/>
      <c r="DH155" s="17"/>
      <c r="DI155" s="36">
        <f>(AT155+SUM(AU155:AX155)*1000+SUM(AY155:CC155)-SUM(CD155:DH155))</f>
        <v>16</v>
      </c>
      <c r="DJ155" s="12">
        <f>DI155*50</f>
        <v>800</v>
      </c>
      <c r="DK155" s="12">
        <f t="shared" si="477"/>
        <v>0</v>
      </c>
      <c r="DL155" s="12">
        <f t="shared" si="567"/>
        <v>0</v>
      </c>
      <c r="DM155" s="12">
        <f t="shared" si="478"/>
        <v>0</v>
      </c>
      <c r="DN155" s="12">
        <f t="shared" si="568"/>
        <v>0</v>
      </c>
      <c r="DO155" s="12">
        <f t="shared" si="479"/>
        <v>0</v>
      </c>
      <c r="DP155" s="12">
        <f t="shared" si="569"/>
        <v>0</v>
      </c>
      <c r="DQ155" s="12">
        <f t="shared" si="480"/>
        <v>0</v>
      </c>
      <c r="DR155" s="12">
        <f t="shared" si="570"/>
        <v>0</v>
      </c>
      <c r="DS155" s="12">
        <f t="shared" si="481"/>
        <v>0</v>
      </c>
      <c r="DT155" s="12">
        <f>DS155*50</f>
        <v>0</v>
      </c>
    </row>
    <row r="156" spans="1:124" ht="14.25" customHeight="1">
      <c r="A156" s="12">
        <v>152</v>
      </c>
      <c r="B156" s="19" t="s">
        <v>187</v>
      </c>
      <c r="C156" s="14"/>
      <c r="D156" s="95"/>
      <c r="E156" s="56">
        <v>126</v>
      </c>
      <c r="F156" s="103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2">
        <f t="shared" si="380"/>
        <v>126</v>
      </c>
      <c r="AP156" s="17">
        <f>AO156*25</f>
        <v>3150</v>
      </c>
      <c r="AQ156" s="12">
        <f t="shared" si="572"/>
        <v>3675</v>
      </c>
      <c r="AR156" s="17"/>
      <c r="AS156" s="126">
        <f t="shared" ref="AS156:AS191" si="573">DI156</f>
        <v>21</v>
      </c>
      <c r="AT156" s="56">
        <v>21</v>
      </c>
      <c r="AU156" s="50"/>
      <c r="AV156" s="12"/>
      <c r="AW156" s="12"/>
      <c r="AX156" s="12"/>
      <c r="AY156" s="12">
        <f t="shared" si="535"/>
        <v>0</v>
      </c>
      <c r="AZ156" s="12">
        <f t="shared" si="536"/>
        <v>0</v>
      </c>
      <c r="BA156" s="12">
        <f t="shared" si="537"/>
        <v>0</v>
      </c>
      <c r="BB156" s="12">
        <f t="shared" si="538"/>
        <v>0</v>
      </c>
      <c r="BC156" s="12">
        <f t="shared" si="539"/>
        <v>0</v>
      </c>
      <c r="BD156" s="12">
        <f t="shared" si="540"/>
        <v>0</v>
      </c>
      <c r="BE156" s="12">
        <f t="shared" si="541"/>
        <v>0</v>
      </c>
      <c r="BF156" s="12">
        <f t="shared" si="542"/>
        <v>0</v>
      </c>
      <c r="BG156" s="12">
        <f t="shared" si="543"/>
        <v>0</v>
      </c>
      <c r="BH156" s="12">
        <f t="shared" si="544"/>
        <v>0</v>
      </c>
      <c r="BI156" s="12">
        <f t="shared" si="545"/>
        <v>0</v>
      </c>
      <c r="BJ156" s="12">
        <f t="shared" si="546"/>
        <v>0</v>
      </c>
      <c r="BK156" s="12">
        <f t="shared" si="547"/>
        <v>0</v>
      </c>
      <c r="BL156" s="12">
        <f t="shared" si="548"/>
        <v>0</v>
      </c>
      <c r="BM156" s="12">
        <f t="shared" si="549"/>
        <v>0</v>
      </c>
      <c r="BN156" s="12">
        <f t="shared" si="550"/>
        <v>0</v>
      </c>
      <c r="BO156" s="12">
        <f t="shared" si="551"/>
        <v>0</v>
      </c>
      <c r="BP156" s="12">
        <f t="shared" si="552"/>
        <v>0</v>
      </c>
      <c r="BQ156" s="12">
        <f t="shared" si="553"/>
        <v>0</v>
      </c>
      <c r="BR156" s="12">
        <f t="shared" si="554"/>
        <v>0</v>
      </c>
      <c r="BS156" s="12">
        <f t="shared" si="555"/>
        <v>0</v>
      </c>
      <c r="BT156" s="12">
        <f t="shared" si="556"/>
        <v>0</v>
      </c>
      <c r="BU156" s="12">
        <f t="shared" si="557"/>
        <v>0</v>
      </c>
      <c r="BV156" s="12">
        <f t="shared" si="558"/>
        <v>0</v>
      </c>
      <c r="BW156" s="12">
        <f t="shared" si="559"/>
        <v>0</v>
      </c>
      <c r="BX156" s="12">
        <f t="shared" si="560"/>
        <v>0</v>
      </c>
      <c r="BY156" s="12">
        <f t="shared" si="561"/>
        <v>0</v>
      </c>
      <c r="BZ156" s="12">
        <f t="shared" si="562"/>
        <v>0</v>
      </c>
      <c r="CA156" s="12">
        <f t="shared" si="563"/>
        <v>0</v>
      </c>
      <c r="CB156" s="12">
        <f t="shared" si="564"/>
        <v>0</v>
      </c>
      <c r="CC156" s="12">
        <f t="shared" si="565"/>
        <v>0</v>
      </c>
      <c r="CD156" s="12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2"/>
      <c r="CQ156" s="17"/>
      <c r="CR156" s="17"/>
      <c r="CS156" s="17"/>
      <c r="CT156" s="17"/>
      <c r="CU156" s="17"/>
      <c r="CV156" s="12"/>
      <c r="CW156" s="17"/>
      <c r="CX156" s="17"/>
      <c r="CY156" s="17"/>
      <c r="CZ156" s="17"/>
      <c r="DA156" s="17"/>
      <c r="DB156" s="17"/>
      <c r="DC156" s="17"/>
      <c r="DD156" s="17"/>
      <c r="DE156" s="12"/>
      <c r="DF156" s="17"/>
      <c r="DG156" s="17"/>
      <c r="DH156" s="17"/>
      <c r="DI156" s="36">
        <f>(AT156+SUM(AU156:AX156)*1000+SUM(AY156:CC156)-SUM(CD156:DH156))</f>
        <v>21</v>
      </c>
      <c r="DJ156" s="12">
        <f>DI156*25</f>
        <v>525</v>
      </c>
      <c r="DK156" s="12">
        <f t="shared" si="477"/>
        <v>0</v>
      </c>
      <c r="DL156" s="12">
        <f>DK156*25</f>
        <v>0</v>
      </c>
      <c r="DM156" s="12">
        <f t="shared" si="478"/>
        <v>0</v>
      </c>
      <c r="DN156" s="12">
        <f>DM156*25</f>
        <v>0</v>
      </c>
      <c r="DO156" s="12">
        <f t="shared" si="479"/>
        <v>0</v>
      </c>
      <c r="DP156" s="12">
        <f>DO156*25</f>
        <v>0</v>
      </c>
      <c r="DQ156" s="12">
        <f t="shared" si="480"/>
        <v>0</v>
      </c>
      <c r="DR156" s="12">
        <f>DQ156*25</f>
        <v>0</v>
      </c>
      <c r="DS156" s="12">
        <f t="shared" si="481"/>
        <v>0</v>
      </c>
      <c r="DT156" s="12">
        <f>DS156*25</f>
        <v>0</v>
      </c>
    </row>
    <row r="157" spans="1:124" ht="14.25" customHeight="1">
      <c r="A157" s="12">
        <v>153</v>
      </c>
      <c r="B157" s="19" t="s">
        <v>188</v>
      </c>
      <c r="C157" s="14"/>
      <c r="D157" s="95"/>
      <c r="E157" s="56">
        <v>0</v>
      </c>
      <c r="F157" s="103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2">
        <f t="shared" si="380"/>
        <v>0</v>
      </c>
      <c r="AP157" s="17">
        <f t="shared" ref="AP157:AP158" si="574">AO157*50</f>
        <v>0</v>
      </c>
      <c r="AQ157" s="12">
        <f t="shared" si="572"/>
        <v>0</v>
      </c>
      <c r="AR157" s="17"/>
      <c r="AS157" s="126">
        <f t="shared" si="573"/>
        <v>0</v>
      </c>
      <c r="AT157" s="56">
        <v>0</v>
      </c>
      <c r="AU157" s="50"/>
      <c r="AV157" s="12"/>
      <c r="AW157" s="12"/>
      <c r="AX157" s="12"/>
      <c r="AY157" s="12">
        <f t="shared" si="535"/>
        <v>0</v>
      </c>
      <c r="AZ157" s="12">
        <f t="shared" si="536"/>
        <v>0</v>
      </c>
      <c r="BA157" s="12">
        <f t="shared" si="537"/>
        <v>0</v>
      </c>
      <c r="BB157" s="12">
        <f t="shared" si="538"/>
        <v>0</v>
      </c>
      <c r="BC157" s="12">
        <f t="shared" si="539"/>
        <v>0</v>
      </c>
      <c r="BD157" s="12">
        <f t="shared" si="540"/>
        <v>0</v>
      </c>
      <c r="BE157" s="12">
        <f t="shared" si="541"/>
        <v>0</v>
      </c>
      <c r="BF157" s="12">
        <f t="shared" si="542"/>
        <v>0</v>
      </c>
      <c r="BG157" s="12">
        <f t="shared" si="543"/>
        <v>0</v>
      </c>
      <c r="BH157" s="12">
        <f t="shared" si="544"/>
        <v>0</v>
      </c>
      <c r="BI157" s="12">
        <f t="shared" si="545"/>
        <v>0</v>
      </c>
      <c r="BJ157" s="12">
        <f t="shared" si="546"/>
        <v>0</v>
      </c>
      <c r="BK157" s="12">
        <f t="shared" si="547"/>
        <v>0</v>
      </c>
      <c r="BL157" s="12">
        <f t="shared" si="548"/>
        <v>0</v>
      </c>
      <c r="BM157" s="12">
        <f t="shared" si="549"/>
        <v>0</v>
      </c>
      <c r="BN157" s="12">
        <f t="shared" si="550"/>
        <v>0</v>
      </c>
      <c r="BO157" s="12">
        <f t="shared" si="551"/>
        <v>0</v>
      </c>
      <c r="BP157" s="12">
        <f t="shared" si="552"/>
        <v>0</v>
      </c>
      <c r="BQ157" s="12">
        <f t="shared" si="553"/>
        <v>0</v>
      </c>
      <c r="BR157" s="12">
        <f t="shared" si="554"/>
        <v>0</v>
      </c>
      <c r="BS157" s="12">
        <f t="shared" si="555"/>
        <v>0</v>
      </c>
      <c r="BT157" s="12">
        <f t="shared" si="556"/>
        <v>0</v>
      </c>
      <c r="BU157" s="12">
        <f t="shared" si="557"/>
        <v>0</v>
      </c>
      <c r="BV157" s="12">
        <f t="shared" si="558"/>
        <v>0</v>
      </c>
      <c r="BW157" s="12">
        <f t="shared" si="559"/>
        <v>0</v>
      </c>
      <c r="BX157" s="12">
        <f t="shared" si="560"/>
        <v>0</v>
      </c>
      <c r="BY157" s="12">
        <f t="shared" si="561"/>
        <v>0</v>
      </c>
      <c r="BZ157" s="12">
        <f t="shared" si="562"/>
        <v>0</v>
      </c>
      <c r="CA157" s="12">
        <f t="shared" si="563"/>
        <v>0</v>
      </c>
      <c r="CB157" s="12">
        <f t="shared" si="564"/>
        <v>0</v>
      </c>
      <c r="CC157" s="12">
        <f t="shared" si="565"/>
        <v>0</v>
      </c>
      <c r="CD157" s="12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2"/>
      <c r="CQ157" s="17"/>
      <c r="CR157" s="17"/>
      <c r="CS157" s="17"/>
      <c r="CT157" s="17"/>
      <c r="CU157" s="17"/>
      <c r="CV157" s="12"/>
      <c r="CW157" s="17"/>
      <c r="CX157" s="17"/>
      <c r="CY157" s="17"/>
      <c r="CZ157" s="17"/>
      <c r="DA157" s="17"/>
      <c r="DB157" s="17"/>
      <c r="DC157" s="17"/>
      <c r="DD157" s="17"/>
      <c r="DE157" s="12"/>
      <c r="DF157" s="17"/>
      <c r="DG157" s="17"/>
      <c r="DH157" s="17"/>
      <c r="DI157" s="36">
        <f>(AT157+SUM(AU157:AX157)*500+SUM(AY157:CC157)-SUM(CD157:DH157))</f>
        <v>0</v>
      </c>
      <c r="DJ157" s="12">
        <f t="shared" ref="DJ157:DJ158" si="575">DI157*50</f>
        <v>0</v>
      </c>
      <c r="DK157" s="12">
        <f t="shared" si="477"/>
        <v>0</v>
      </c>
      <c r="DL157" s="12">
        <f t="shared" ref="DL157:DL158" si="576">DK157*50</f>
        <v>0</v>
      </c>
      <c r="DM157" s="12">
        <f t="shared" si="478"/>
        <v>0</v>
      </c>
      <c r="DN157" s="12">
        <f t="shared" ref="DN157:DN158" si="577">DM157*50</f>
        <v>0</v>
      </c>
      <c r="DO157" s="12">
        <f t="shared" si="479"/>
        <v>0</v>
      </c>
      <c r="DP157" s="12">
        <f t="shared" ref="DP157:DP158" si="578">DO157*50</f>
        <v>0</v>
      </c>
      <c r="DQ157" s="12">
        <f t="shared" si="480"/>
        <v>0</v>
      </c>
      <c r="DR157" s="12">
        <f t="shared" ref="DR157:DR158" si="579">DQ157*50</f>
        <v>0</v>
      </c>
      <c r="DS157" s="12">
        <f t="shared" si="481"/>
        <v>0</v>
      </c>
      <c r="DT157" s="12">
        <f t="shared" ref="DT157:DT158" si="580">DS157*50</f>
        <v>0</v>
      </c>
    </row>
    <row r="158" spans="1:124" ht="14.25" customHeight="1">
      <c r="A158" s="12">
        <v>154</v>
      </c>
      <c r="B158" s="19" t="s">
        <v>189</v>
      </c>
      <c r="C158" s="14"/>
      <c r="D158" s="95"/>
      <c r="E158" s="56">
        <v>50</v>
      </c>
      <c r="F158" s="103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>
        <v>20</v>
      </c>
      <c r="R158" s="17"/>
      <c r="S158" s="17"/>
      <c r="T158" s="17"/>
      <c r="U158" s="17"/>
      <c r="V158" s="17"/>
      <c r="W158" s="17"/>
      <c r="X158" s="17"/>
      <c r="Y158" s="17"/>
      <c r="Z158" s="17">
        <v>10</v>
      </c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2">
        <f t="shared" si="380"/>
        <v>20</v>
      </c>
      <c r="AP158" s="17">
        <f t="shared" si="574"/>
        <v>1000</v>
      </c>
      <c r="AQ158" s="12">
        <f t="shared" si="572"/>
        <v>3000</v>
      </c>
      <c r="AR158" s="17"/>
      <c r="AS158" s="126">
        <f t="shared" si="573"/>
        <v>40</v>
      </c>
      <c r="AT158" s="56">
        <v>10</v>
      </c>
      <c r="AU158" s="50"/>
      <c r="AV158" s="12"/>
      <c r="AW158" s="12"/>
      <c r="AX158" s="12"/>
      <c r="AY158" s="12">
        <f t="shared" si="535"/>
        <v>0</v>
      </c>
      <c r="AZ158" s="12">
        <f t="shared" si="536"/>
        <v>0</v>
      </c>
      <c r="BA158" s="12">
        <f t="shared" si="537"/>
        <v>0</v>
      </c>
      <c r="BB158" s="12">
        <f t="shared" si="538"/>
        <v>0</v>
      </c>
      <c r="BC158" s="12">
        <f t="shared" si="539"/>
        <v>0</v>
      </c>
      <c r="BD158" s="12">
        <f t="shared" si="540"/>
        <v>0</v>
      </c>
      <c r="BE158" s="12">
        <f t="shared" si="541"/>
        <v>0</v>
      </c>
      <c r="BF158" s="12">
        <f t="shared" si="542"/>
        <v>20</v>
      </c>
      <c r="BG158" s="12">
        <f t="shared" si="543"/>
        <v>0</v>
      </c>
      <c r="BH158" s="12">
        <f t="shared" si="544"/>
        <v>0</v>
      </c>
      <c r="BI158" s="12">
        <f t="shared" si="545"/>
        <v>0</v>
      </c>
      <c r="BJ158" s="12">
        <f t="shared" si="546"/>
        <v>0</v>
      </c>
      <c r="BK158" s="12">
        <f t="shared" si="547"/>
        <v>0</v>
      </c>
      <c r="BL158" s="12">
        <f t="shared" si="548"/>
        <v>0</v>
      </c>
      <c r="BM158" s="12">
        <f t="shared" si="549"/>
        <v>0</v>
      </c>
      <c r="BN158" s="12">
        <f t="shared" si="550"/>
        <v>0</v>
      </c>
      <c r="BO158" s="12">
        <f t="shared" si="551"/>
        <v>10</v>
      </c>
      <c r="BP158" s="12">
        <f t="shared" si="552"/>
        <v>0</v>
      </c>
      <c r="BQ158" s="12">
        <f t="shared" si="553"/>
        <v>0</v>
      </c>
      <c r="BR158" s="12">
        <f t="shared" si="554"/>
        <v>0</v>
      </c>
      <c r="BS158" s="12">
        <f t="shared" si="555"/>
        <v>0</v>
      </c>
      <c r="BT158" s="12">
        <f t="shared" si="556"/>
        <v>0</v>
      </c>
      <c r="BU158" s="12">
        <f t="shared" si="557"/>
        <v>0</v>
      </c>
      <c r="BV158" s="12">
        <f t="shared" si="558"/>
        <v>0</v>
      </c>
      <c r="BW158" s="12">
        <f t="shared" si="559"/>
        <v>0</v>
      </c>
      <c r="BX158" s="12">
        <f t="shared" si="560"/>
        <v>0</v>
      </c>
      <c r="BY158" s="12">
        <f t="shared" si="561"/>
        <v>0</v>
      </c>
      <c r="BZ158" s="12">
        <f t="shared" si="562"/>
        <v>0</v>
      </c>
      <c r="CA158" s="12">
        <f t="shared" si="563"/>
        <v>0</v>
      </c>
      <c r="CB158" s="12">
        <f t="shared" si="564"/>
        <v>0</v>
      </c>
      <c r="CC158" s="12">
        <f t="shared" si="565"/>
        <v>0</v>
      </c>
      <c r="CD158" s="12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2"/>
      <c r="CQ158" s="17"/>
      <c r="CR158" s="17"/>
      <c r="CS158" s="17"/>
      <c r="CT158" s="17"/>
      <c r="CU158" s="17"/>
      <c r="CV158" s="12"/>
      <c r="CW158" s="17"/>
      <c r="CX158" s="17"/>
      <c r="CY158" s="17"/>
      <c r="CZ158" s="17"/>
      <c r="DA158" s="17"/>
      <c r="DB158" s="17"/>
      <c r="DC158" s="17"/>
      <c r="DD158" s="17"/>
      <c r="DE158" s="12"/>
      <c r="DF158" s="17"/>
      <c r="DG158" s="17"/>
      <c r="DH158" s="17"/>
      <c r="DI158" s="36">
        <f>(AT158+SUM(AU158:AX158)*500+SUM(AY158:CC158)-SUM(CD158:DH158))</f>
        <v>40</v>
      </c>
      <c r="DJ158" s="12">
        <f t="shared" si="575"/>
        <v>2000</v>
      </c>
      <c r="DK158" s="12">
        <f t="shared" si="477"/>
        <v>0</v>
      </c>
      <c r="DL158" s="12">
        <f t="shared" si="576"/>
        <v>0</v>
      </c>
      <c r="DM158" s="12">
        <f t="shared" si="478"/>
        <v>0</v>
      </c>
      <c r="DN158" s="12">
        <f t="shared" si="577"/>
        <v>0</v>
      </c>
      <c r="DO158" s="12">
        <f t="shared" si="479"/>
        <v>0</v>
      </c>
      <c r="DP158" s="12">
        <f t="shared" si="578"/>
        <v>0</v>
      </c>
      <c r="DQ158" s="12">
        <f t="shared" si="480"/>
        <v>0</v>
      </c>
      <c r="DR158" s="12">
        <f t="shared" si="579"/>
        <v>0</v>
      </c>
      <c r="DS158" s="12">
        <f t="shared" si="481"/>
        <v>0</v>
      </c>
      <c r="DT158" s="12">
        <f t="shared" si="580"/>
        <v>0</v>
      </c>
    </row>
    <row r="159" spans="1:124" ht="14.25" customHeight="1">
      <c r="A159" s="12">
        <v>155</v>
      </c>
      <c r="B159" s="19" t="s">
        <v>190</v>
      </c>
      <c r="C159" s="14"/>
      <c r="D159" s="95"/>
      <c r="E159" s="56">
        <v>10</v>
      </c>
      <c r="F159" s="103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2">
        <f t="shared" si="380"/>
        <v>10</v>
      </c>
      <c r="AP159" s="17">
        <f t="shared" ref="AP159:AP160" si="581">AO159*100</f>
        <v>1000</v>
      </c>
      <c r="AQ159" s="12">
        <f t="shared" si="572"/>
        <v>1300</v>
      </c>
      <c r="AR159" s="17"/>
      <c r="AS159" s="126">
        <f t="shared" si="573"/>
        <v>3</v>
      </c>
      <c r="AT159" s="56">
        <v>3</v>
      </c>
      <c r="AU159" s="50"/>
      <c r="AV159" s="12"/>
      <c r="AW159" s="12"/>
      <c r="AX159" s="12"/>
      <c r="AY159" s="12">
        <f t="shared" si="535"/>
        <v>0</v>
      </c>
      <c r="AZ159" s="12">
        <f t="shared" si="536"/>
        <v>0</v>
      </c>
      <c r="BA159" s="12">
        <f t="shared" si="537"/>
        <v>0</v>
      </c>
      <c r="BB159" s="12">
        <f t="shared" si="538"/>
        <v>0</v>
      </c>
      <c r="BC159" s="12">
        <f t="shared" si="539"/>
        <v>0</v>
      </c>
      <c r="BD159" s="12">
        <f t="shared" si="540"/>
        <v>0</v>
      </c>
      <c r="BE159" s="12">
        <f t="shared" si="541"/>
        <v>0</v>
      </c>
      <c r="BF159" s="12">
        <f t="shared" si="542"/>
        <v>0</v>
      </c>
      <c r="BG159" s="12">
        <f t="shared" si="543"/>
        <v>0</v>
      </c>
      <c r="BH159" s="12">
        <f t="shared" si="544"/>
        <v>0</v>
      </c>
      <c r="BI159" s="12">
        <f t="shared" si="545"/>
        <v>0</v>
      </c>
      <c r="BJ159" s="12">
        <f t="shared" si="546"/>
        <v>0</v>
      </c>
      <c r="BK159" s="12">
        <f t="shared" si="547"/>
        <v>0</v>
      </c>
      <c r="BL159" s="12">
        <f t="shared" si="548"/>
        <v>0</v>
      </c>
      <c r="BM159" s="12">
        <f t="shared" si="549"/>
        <v>0</v>
      </c>
      <c r="BN159" s="12">
        <f t="shared" si="550"/>
        <v>0</v>
      </c>
      <c r="BO159" s="12">
        <f t="shared" si="551"/>
        <v>0</v>
      </c>
      <c r="BP159" s="12">
        <f t="shared" si="552"/>
        <v>0</v>
      </c>
      <c r="BQ159" s="12">
        <f t="shared" si="553"/>
        <v>0</v>
      </c>
      <c r="BR159" s="12">
        <f t="shared" si="554"/>
        <v>0</v>
      </c>
      <c r="BS159" s="12">
        <f t="shared" si="555"/>
        <v>0</v>
      </c>
      <c r="BT159" s="12">
        <f t="shared" si="556"/>
        <v>0</v>
      </c>
      <c r="BU159" s="12">
        <f t="shared" si="557"/>
        <v>0</v>
      </c>
      <c r="BV159" s="12">
        <f t="shared" si="558"/>
        <v>0</v>
      </c>
      <c r="BW159" s="12">
        <f t="shared" si="559"/>
        <v>0</v>
      </c>
      <c r="BX159" s="12">
        <f t="shared" si="560"/>
        <v>0</v>
      </c>
      <c r="BY159" s="12">
        <f t="shared" si="561"/>
        <v>0</v>
      </c>
      <c r="BZ159" s="12">
        <f t="shared" si="562"/>
        <v>0</v>
      </c>
      <c r="CA159" s="12">
        <f t="shared" si="563"/>
        <v>0</v>
      </c>
      <c r="CB159" s="12">
        <f t="shared" si="564"/>
        <v>0</v>
      </c>
      <c r="CC159" s="12">
        <f t="shared" si="565"/>
        <v>0</v>
      </c>
      <c r="CD159" s="12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2"/>
      <c r="CQ159" s="17"/>
      <c r="CR159" s="17"/>
      <c r="CS159" s="17"/>
      <c r="CT159" s="17"/>
      <c r="CU159" s="17"/>
      <c r="CV159" s="12"/>
      <c r="CW159" s="17"/>
      <c r="CX159" s="17"/>
      <c r="CY159" s="17"/>
      <c r="CZ159" s="17"/>
      <c r="DA159" s="17"/>
      <c r="DB159" s="17"/>
      <c r="DC159" s="17"/>
      <c r="DD159" s="17"/>
      <c r="DE159" s="12"/>
      <c r="DF159" s="17"/>
      <c r="DG159" s="17"/>
      <c r="DH159" s="17"/>
      <c r="DI159" s="36">
        <f>(AT159+SUM(AU159:AX159)*1000+SUM(AY159:CC159)-SUM(CD159:DH159))</f>
        <v>3</v>
      </c>
      <c r="DJ159" s="12">
        <f t="shared" ref="DJ159:DJ160" si="582">DI159*100</f>
        <v>300</v>
      </c>
      <c r="DK159" s="12">
        <f t="shared" si="477"/>
        <v>0</v>
      </c>
      <c r="DL159" s="12">
        <f t="shared" ref="DL159:DL160" si="583">DK159*100</f>
        <v>0</v>
      </c>
      <c r="DM159" s="12">
        <f t="shared" si="478"/>
        <v>0</v>
      </c>
      <c r="DN159" s="12">
        <f t="shared" ref="DN159:DN160" si="584">DM159*100</f>
        <v>0</v>
      </c>
      <c r="DO159" s="12">
        <f t="shared" si="479"/>
        <v>0</v>
      </c>
      <c r="DP159" s="12">
        <f t="shared" ref="DP159:DP160" si="585">DO159*100</f>
        <v>0</v>
      </c>
      <c r="DQ159" s="12">
        <f t="shared" si="480"/>
        <v>0</v>
      </c>
      <c r="DR159" s="12">
        <f t="shared" ref="DR159:DR160" si="586">DQ159*100</f>
        <v>0</v>
      </c>
      <c r="DS159" s="12">
        <f t="shared" si="481"/>
        <v>0</v>
      </c>
      <c r="DT159" s="12">
        <f t="shared" ref="DT159:DT160" si="587">DS159*100</f>
        <v>0</v>
      </c>
    </row>
    <row r="160" spans="1:124" ht="14.25" customHeight="1">
      <c r="A160" s="12">
        <v>156</v>
      </c>
      <c r="B160" s="19" t="s">
        <v>191</v>
      </c>
      <c r="C160" s="14"/>
      <c r="D160" s="95"/>
      <c r="E160" s="56">
        <v>10</v>
      </c>
      <c r="F160" s="103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>
        <v>10</v>
      </c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2">
        <f t="shared" si="380"/>
        <v>0</v>
      </c>
      <c r="AP160" s="17">
        <f t="shared" si="581"/>
        <v>0</v>
      </c>
      <c r="AQ160" s="12">
        <f t="shared" si="572"/>
        <v>1400</v>
      </c>
      <c r="AR160" s="17"/>
      <c r="AS160" s="126">
        <f t="shared" si="573"/>
        <v>14</v>
      </c>
      <c r="AT160" s="56">
        <v>4</v>
      </c>
      <c r="AU160" s="50"/>
      <c r="AV160" s="12"/>
      <c r="AW160" s="12"/>
      <c r="AX160" s="12"/>
      <c r="AY160" s="12">
        <f t="shared" si="535"/>
        <v>0</v>
      </c>
      <c r="AZ160" s="12">
        <f t="shared" si="536"/>
        <v>0</v>
      </c>
      <c r="BA160" s="12">
        <f t="shared" si="537"/>
        <v>0</v>
      </c>
      <c r="BB160" s="12">
        <f t="shared" si="538"/>
        <v>0</v>
      </c>
      <c r="BC160" s="12">
        <f t="shared" si="539"/>
        <v>0</v>
      </c>
      <c r="BD160" s="12">
        <f t="shared" si="540"/>
        <v>0</v>
      </c>
      <c r="BE160" s="12">
        <f t="shared" si="541"/>
        <v>0</v>
      </c>
      <c r="BF160" s="12">
        <f t="shared" si="542"/>
        <v>10</v>
      </c>
      <c r="BG160" s="12">
        <f t="shared" si="543"/>
        <v>0</v>
      </c>
      <c r="BH160" s="12">
        <f t="shared" si="544"/>
        <v>0</v>
      </c>
      <c r="BI160" s="12">
        <f t="shared" si="545"/>
        <v>0</v>
      </c>
      <c r="BJ160" s="12">
        <f t="shared" si="546"/>
        <v>0</v>
      </c>
      <c r="BK160" s="12">
        <f t="shared" si="547"/>
        <v>0</v>
      </c>
      <c r="BL160" s="12">
        <f t="shared" si="548"/>
        <v>0</v>
      </c>
      <c r="BM160" s="12">
        <f t="shared" si="549"/>
        <v>0</v>
      </c>
      <c r="BN160" s="12">
        <f t="shared" si="550"/>
        <v>0</v>
      </c>
      <c r="BO160" s="12">
        <f t="shared" si="551"/>
        <v>0</v>
      </c>
      <c r="BP160" s="12">
        <f t="shared" si="552"/>
        <v>0</v>
      </c>
      <c r="BQ160" s="12">
        <f t="shared" si="553"/>
        <v>0</v>
      </c>
      <c r="BR160" s="12">
        <f t="shared" si="554"/>
        <v>0</v>
      </c>
      <c r="BS160" s="12">
        <f t="shared" si="555"/>
        <v>0</v>
      </c>
      <c r="BT160" s="12">
        <f t="shared" si="556"/>
        <v>0</v>
      </c>
      <c r="BU160" s="12">
        <f t="shared" si="557"/>
        <v>0</v>
      </c>
      <c r="BV160" s="12">
        <f t="shared" si="558"/>
        <v>0</v>
      </c>
      <c r="BW160" s="12">
        <f t="shared" si="559"/>
        <v>0</v>
      </c>
      <c r="BX160" s="12">
        <f t="shared" si="560"/>
        <v>0</v>
      </c>
      <c r="BY160" s="12">
        <f t="shared" si="561"/>
        <v>0</v>
      </c>
      <c r="BZ160" s="12">
        <f t="shared" si="562"/>
        <v>0</v>
      </c>
      <c r="CA160" s="12">
        <f t="shared" si="563"/>
        <v>0</v>
      </c>
      <c r="CB160" s="12">
        <f t="shared" si="564"/>
        <v>0</v>
      </c>
      <c r="CC160" s="12">
        <f t="shared" si="565"/>
        <v>0</v>
      </c>
      <c r="CD160" s="12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2"/>
      <c r="CQ160" s="17"/>
      <c r="CR160" s="17"/>
      <c r="CS160" s="17"/>
      <c r="CT160" s="17"/>
      <c r="CU160" s="17"/>
      <c r="CV160" s="12"/>
      <c r="CW160" s="17"/>
      <c r="CX160" s="17"/>
      <c r="CY160" s="17"/>
      <c r="CZ160" s="17"/>
      <c r="DA160" s="17"/>
      <c r="DB160" s="17"/>
      <c r="DC160" s="17"/>
      <c r="DD160" s="17"/>
      <c r="DE160" s="12"/>
      <c r="DF160" s="17"/>
      <c r="DG160" s="17"/>
      <c r="DH160" s="17"/>
      <c r="DI160" s="36">
        <f t="shared" si="527"/>
        <v>14</v>
      </c>
      <c r="DJ160" s="12">
        <f t="shared" si="582"/>
        <v>1400</v>
      </c>
      <c r="DK160" s="12">
        <f t="shared" si="477"/>
        <v>0</v>
      </c>
      <c r="DL160" s="12">
        <f t="shared" si="583"/>
        <v>0</v>
      </c>
      <c r="DM160" s="12">
        <f t="shared" si="478"/>
        <v>0</v>
      </c>
      <c r="DN160" s="12">
        <f t="shared" si="584"/>
        <v>0</v>
      </c>
      <c r="DO160" s="12">
        <f t="shared" si="479"/>
        <v>0</v>
      </c>
      <c r="DP160" s="12">
        <f t="shared" si="585"/>
        <v>0</v>
      </c>
      <c r="DQ160" s="12">
        <f t="shared" si="480"/>
        <v>0</v>
      </c>
      <c r="DR160" s="12">
        <f t="shared" si="586"/>
        <v>0</v>
      </c>
      <c r="DS160" s="12">
        <f t="shared" si="481"/>
        <v>0</v>
      </c>
      <c r="DT160" s="12">
        <f t="shared" si="587"/>
        <v>0</v>
      </c>
    </row>
    <row r="161" spans="1:124" ht="14.25" customHeight="1">
      <c r="A161" s="12">
        <v>157</v>
      </c>
      <c r="B161" s="19" t="s">
        <v>192</v>
      </c>
      <c r="C161" s="14"/>
      <c r="D161" s="95"/>
      <c r="E161" s="56">
        <v>6</v>
      </c>
      <c r="F161" s="103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2">
        <f t="shared" si="380"/>
        <v>6</v>
      </c>
      <c r="AP161" s="17">
        <f>AO161*50</f>
        <v>300</v>
      </c>
      <c r="AQ161" s="12">
        <f t="shared" si="572"/>
        <v>350</v>
      </c>
      <c r="AR161" s="17"/>
      <c r="AS161" s="126">
        <f t="shared" si="573"/>
        <v>1</v>
      </c>
      <c r="AT161" s="56">
        <v>1</v>
      </c>
      <c r="AU161" s="50"/>
      <c r="AV161" s="12"/>
      <c r="AW161" s="12"/>
      <c r="AX161" s="12"/>
      <c r="AY161" s="12">
        <f t="shared" si="535"/>
        <v>0</v>
      </c>
      <c r="AZ161" s="12">
        <f t="shared" si="536"/>
        <v>0</v>
      </c>
      <c r="BA161" s="12">
        <f t="shared" si="537"/>
        <v>0</v>
      </c>
      <c r="BB161" s="12">
        <f t="shared" si="538"/>
        <v>0</v>
      </c>
      <c r="BC161" s="12">
        <f t="shared" si="539"/>
        <v>0</v>
      </c>
      <c r="BD161" s="12">
        <f t="shared" si="540"/>
        <v>0</v>
      </c>
      <c r="BE161" s="12">
        <f t="shared" si="541"/>
        <v>0</v>
      </c>
      <c r="BF161" s="12">
        <f t="shared" si="542"/>
        <v>0</v>
      </c>
      <c r="BG161" s="12">
        <f t="shared" si="543"/>
        <v>0</v>
      </c>
      <c r="BH161" s="12">
        <f t="shared" si="544"/>
        <v>0</v>
      </c>
      <c r="BI161" s="12">
        <f t="shared" si="545"/>
        <v>0</v>
      </c>
      <c r="BJ161" s="12">
        <f t="shared" si="546"/>
        <v>0</v>
      </c>
      <c r="BK161" s="12">
        <f t="shared" si="547"/>
        <v>0</v>
      </c>
      <c r="BL161" s="12">
        <f t="shared" si="548"/>
        <v>0</v>
      </c>
      <c r="BM161" s="12">
        <f t="shared" si="549"/>
        <v>0</v>
      </c>
      <c r="BN161" s="12">
        <f t="shared" si="550"/>
        <v>0</v>
      </c>
      <c r="BO161" s="12">
        <f t="shared" si="551"/>
        <v>0</v>
      </c>
      <c r="BP161" s="12">
        <f t="shared" si="552"/>
        <v>0</v>
      </c>
      <c r="BQ161" s="12">
        <f t="shared" si="553"/>
        <v>0</v>
      </c>
      <c r="BR161" s="12">
        <f t="shared" si="554"/>
        <v>0</v>
      </c>
      <c r="BS161" s="12">
        <f t="shared" si="555"/>
        <v>0</v>
      </c>
      <c r="BT161" s="12">
        <f t="shared" si="556"/>
        <v>0</v>
      </c>
      <c r="BU161" s="12">
        <f t="shared" si="557"/>
        <v>0</v>
      </c>
      <c r="BV161" s="12">
        <f t="shared" si="558"/>
        <v>0</v>
      </c>
      <c r="BW161" s="12">
        <f t="shared" si="559"/>
        <v>0</v>
      </c>
      <c r="BX161" s="12">
        <f t="shared" si="560"/>
        <v>0</v>
      </c>
      <c r="BY161" s="12">
        <f t="shared" si="561"/>
        <v>0</v>
      </c>
      <c r="BZ161" s="12">
        <f t="shared" si="562"/>
        <v>0</v>
      </c>
      <c r="CA161" s="12">
        <f t="shared" si="563"/>
        <v>0</v>
      </c>
      <c r="CB161" s="12">
        <f t="shared" si="564"/>
        <v>0</v>
      </c>
      <c r="CC161" s="12">
        <f t="shared" si="565"/>
        <v>0</v>
      </c>
      <c r="CD161" s="12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2"/>
      <c r="CQ161" s="17"/>
      <c r="CR161" s="17"/>
      <c r="CS161" s="17"/>
      <c r="CT161" s="17"/>
      <c r="CU161" s="17"/>
      <c r="CV161" s="12"/>
      <c r="CW161" s="17"/>
      <c r="CX161" s="17"/>
      <c r="CY161" s="17"/>
      <c r="CZ161" s="17"/>
      <c r="DA161" s="17"/>
      <c r="DB161" s="17"/>
      <c r="DC161" s="17"/>
      <c r="DD161" s="17"/>
      <c r="DE161" s="12"/>
      <c r="DF161" s="17"/>
      <c r="DG161" s="17"/>
      <c r="DH161" s="17"/>
      <c r="DI161" s="36">
        <f>(AT161+SUM(AU161:AX161)*50+SUM(AY161:CC161)-SUM(CD161:DH161))</f>
        <v>1</v>
      </c>
      <c r="DJ161" s="12">
        <f>DI161*50</f>
        <v>50</v>
      </c>
      <c r="DK161" s="12">
        <f t="shared" si="477"/>
        <v>0</v>
      </c>
      <c r="DL161" s="12">
        <f>DK161*50</f>
        <v>0</v>
      </c>
      <c r="DM161" s="12">
        <f t="shared" si="478"/>
        <v>0</v>
      </c>
      <c r="DN161" s="12">
        <f>DM161*50</f>
        <v>0</v>
      </c>
      <c r="DO161" s="12">
        <f t="shared" si="479"/>
        <v>0</v>
      </c>
      <c r="DP161" s="12">
        <f>DO161*50</f>
        <v>0</v>
      </c>
      <c r="DQ161" s="12">
        <f t="shared" si="480"/>
        <v>0</v>
      </c>
      <c r="DR161" s="12">
        <f>DQ161*50</f>
        <v>0</v>
      </c>
      <c r="DS161" s="12">
        <f t="shared" si="481"/>
        <v>0</v>
      </c>
      <c r="DT161" s="12">
        <f>DS161*50</f>
        <v>0</v>
      </c>
    </row>
    <row r="162" spans="1:124" ht="14.25" customHeight="1">
      <c r="A162" s="12">
        <v>158</v>
      </c>
      <c r="B162" s="19" t="s">
        <v>193</v>
      </c>
      <c r="C162" s="14"/>
      <c r="D162" s="95"/>
      <c r="E162" s="56">
        <v>2</v>
      </c>
      <c r="F162" s="103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2">
        <f t="shared" si="380"/>
        <v>2</v>
      </c>
      <c r="AP162" s="17">
        <f>AO162*100</f>
        <v>200</v>
      </c>
      <c r="AQ162" s="12">
        <f t="shared" si="572"/>
        <v>400</v>
      </c>
      <c r="AR162" s="17"/>
      <c r="AS162" s="126">
        <f t="shared" si="573"/>
        <v>2</v>
      </c>
      <c r="AT162" s="56">
        <v>2</v>
      </c>
      <c r="AU162" s="50"/>
      <c r="AV162" s="12"/>
      <c r="AW162" s="12"/>
      <c r="AX162" s="12"/>
      <c r="AY162" s="12">
        <f t="shared" si="535"/>
        <v>0</v>
      </c>
      <c r="AZ162" s="12">
        <f t="shared" si="536"/>
        <v>0</v>
      </c>
      <c r="BA162" s="12">
        <f t="shared" si="537"/>
        <v>0</v>
      </c>
      <c r="BB162" s="12">
        <f t="shared" si="538"/>
        <v>0</v>
      </c>
      <c r="BC162" s="12">
        <f t="shared" si="539"/>
        <v>0</v>
      </c>
      <c r="BD162" s="12">
        <f t="shared" si="540"/>
        <v>0</v>
      </c>
      <c r="BE162" s="12">
        <f t="shared" si="541"/>
        <v>0</v>
      </c>
      <c r="BF162" s="12">
        <f t="shared" si="542"/>
        <v>0</v>
      </c>
      <c r="BG162" s="12">
        <f t="shared" si="543"/>
        <v>0</v>
      </c>
      <c r="BH162" s="12">
        <f t="shared" si="544"/>
        <v>0</v>
      </c>
      <c r="BI162" s="12">
        <f t="shared" si="545"/>
        <v>0</v>
      </c>
      <c r="BJ162" s="12">
        <f t="shared" si="546"/>
        <v>0</v>
      </c>
      <c r="BK162" s="12">
        <f t="shared" si="547"/>
        <v>0</v>
      </c>
      <c r="BL162" s="12">
        <f t="shared" si="548"/>
        <v>0</v>
      </c>
      <c r="BM162" s="12">
        <f t="shared" si="549"/>
        <v>0</v>
      </c>
      <c r="BN162" s="12">
        <f t="shared" si="550"/>
        <v>0</v>
      </c>
      <c r="BO162" s="12">
        <f t="shared" si="551"/>
        <v>0</v>
      </c>
      <c r="BP162" s="12">
        <f t="shared" si="552"/>
        <v>0</v>
      </c>
      <c r="BQ162" s="12">
        <f t="shared" si="553"/>
        <v>0</v>
      </c>
      <c r="BR162" s="12">
        <f t="shared" si="554"/>
        <v>0</v>
      </c>
      <c r="BS162" s="12">
        <f t="shared" si="555"/>
        <v>0</v>
      </c>
      <c r="BT162" s="12">
        <f t="shared" si="556"/>
        <v>0</v>
      </c>
      <c r="BU162" s="12">
        <f t="shared" si="557"/>
        <v>0</v>
      </c>
      <c r="BV162" s="12">
        <f t="shared" si="558"/>
        <v>0</v>
      </c>
      <c r="BW162" s="12">
        <f t="shared" si="559"/>
        <v>0</v>
      </c>
      <c r="BX162" s="12">
        <f t="shared" si="560"/>
        <v>0</v>
      </c>
      <c r="BY162" s="12">
        <f t="shared" si="561"/>
        <v>0</v>
      </c>
      <c r="BZ162" s="12">
        <f t="shared" si="562"/>
        <v>0</v>
      </c>
      <c r="CA162" s="12">
        <f t="shared" si="563"/>
        <v>0</v>
      </c>
      <c r="CB162" s="12">
        <f t="shared" si="564"/>
        <v>0</v>
      </c>
      <c r="CC162" s="12">
        <f t="shared" si="565"/>
        <v>0</v>
      </c>
      <c r="CD162" s="12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2"/>
      <c r="CQ162" s="17"/>
      <c r="CR162" s="17"/>
      <c r="CS162" s="17"/>
      <c r="CT162" s="17"/>
      <c r="CU162" s="17"/>
      <c r="CV162" s="12"/>
      <c r="CW162" s="17"/>
      <c r="CX162" s="17"/>
      <c r="CY162" s="17"/>
      <c r="CZ162" s="17"/>
      <c r="DA162" s="17"/>
      <c r="DB162" s="17"/>
      <c r="DC162" s="17"/>
      <c r="DD162" s="17"/>
      <c r="DE162" s="12"/>
      <c r="DF162" s="17"/>
      <c r="DG162" s="17"/>
      <c r="DH162" s="17"/>
      <c r="DI162" s="36">
        <f>(AT162+SUM(AU162:AX162)*1000+SUM(AY162:CC162)-SUM(CD162:DH162))</f>
        <v>2</v>
      </c>
      <c r="DJ162" s="12">
        <f>DI162*100</f>
        <v>200</v>
      </c>
      <c r="DK162" s="12">
        <f t="shared" si="477"/>
        <v>0</v>
      </c>
      <c r="DL162" s="12">
        <f>DK162*100</f>
        <v>0</v>
      </c>
      <c r="DM162" s="12">
        <f t="shared" si="478"/>
        <v>0</v>
      </c>
      <c r="DN162" s="12">
        <f>DM162*100</f>
        <v>0</v>
      </c>
      <c r="DO162" s="12">
        <f t="shared" si="479"/>
        <v>0</v>
      </c>
      <c r="DP162" s="12">
        <f>DO162*100</f>
        <v>0</v>
      </c>
      <c r="DQ162" s="12">
        <f t="shared" si="480"/>
        <v>0</v>
      </c>
      <c r="DR162" s="12">
        <f>DQ162*100</f>
        <v>0</v>
      </c>
      <c r="DS162" s="12">
        <f t="shared" si="481"/>
        <v>0</v>
      </c>
      <c r="DT162" s="12">
        <f>DS162*100</f>
        <v>0</v>
      </c>
    </row>
    <row r="163" spans="1:124" ht="14.25" customHeight="1">
      <c r="A163" s="12">
        <v>159</v>
      </c>
      <c r="B163" s="19" t="s">
        <v>194</v>
      </c>
      <c r="C163" s="14"/>
      <c r="D163" s="95"/>
      <c r="E163" s="56">
        <v>4</v>
      </c>
      <c r="F163" s="103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2">
        <f t="shared" si="380"/>
        <v>4</v>
      </c>
      <c r="AP163" s="17">
        <f>AO163*50</f>
        <v>200</v>
      </c>
      <c r="AQ163" s="12">
        <f t="shared" si="572"/>
        <v>350</v>
      </c>
      <c r="AR163" s="17"/>
      <c r="AS163" s="126">
        <f t="shared" si="573"/>
        <v>3</v>
      </c>
      <c r="AT163" s="56">
        <v>3</v>
      </c>
      <c r="AU163" s="50"/>
      <c r="AV163" s="12"/>
      <c r="AW163" s="12"/>
      <c r="AX163" s="12"/>
      <c r="AY163" s="12">
        <f t="shared" si="535"/>
        <v>0</v>
      </c>
      <c r="AZ163" s="12">
        <f t="shared" si="536"/>
        <v>0</v>
      </c>
      <c r="BA163" s="12">
        <f t="shared" si="537"/>
        <v>0</v>
      </c>
      <c r="BB163" s="12">
        <f t="shared" si="538"/>
        <v>0</v>
      </c>
      <c r="BC163" s="12">
        <f t="shared" si="539"/>
        <v>0</v>
      </c>
      <c r="BD163" s="12">
        <f t="shared" si="540"/>
        <v>0</v>
      </c>
      <c r="BE163" s="12">
        <f t="shared" si="541"/>
        <v>0</v>
      </c>
      <c r="BF163" s="12">
        <f t="shared" si="542"/>
        <v>0</v>
      </c>
      <c r="BG163" s="12">
        <f t="shared" si="543"/>
        <v>0</v>
      </c>
      <c r="BH163" s="12">
        <f t="shared" si="544"/>
        <v>0</v>
      </c>
      <c r="BI163" s="12">
        <f t="shared" si="545"/>
        <v>0</v>
      </c>
      <c r="BJ163" s="12">
        <f t="shared" si="546"/>
        <v>0</v>
      </c>
      <c r="BK163" s="12">
        <f t="shared" si="547"/>
        <v>0</v>
      </c>
      <c r="BL163" s="12">
        <f t="shared" si="548"/>
        <v>0</v>
      </c>
      <c r="BM163" s="12">
        <f t="shared" si="549"/>
        <v>0</v>
      </c>
      <c r="BN163" s="12">
        <f t="shared" si="550"/>
        <v>0</v>
      </c>
      <c r="BO163" s="12">
        <f t="shared" si="551"/>
        <v>0</v>
      </c>
      <c r="BP163" s="12">
        <f t="shared" si="552"/>
        <v>0</v>
      </c>
      <c r="BQ163" s="12">
        <f t="shared" si="553"/>
        <v>0</v>
      </c>
      <c r="BR163" s="12">
        <f t="shared" si="554"/>
        <v>0</v>
      </c>
      <c r="BS163" s="12">
        <f t="shared" si="555"/>
        <v>0</v>
      </c>
      <c r="BT163" s="12">
        <f t="shared" si="556"/>
        <v>0</v>
      </c>
      <c r="BU163" s="12">
        <f t="shared" si="557"/>
        <v>0</v>
      </c>
      <c r="BV163" s="12">
        <f t="shared" si="558"/>
        <v>0</v>
      </c>
      <c r="BW163" s="12">
        <f t="shared" si="559"/>
        <v>0</v>
      </c>
      <c r="BX163" s="12">
        <f t="shared" si="560"/>
        <v>0</v>
      </c>
      <c r="BY163" s="12">
        <f t="shared" si="561"/>
        <v>0</v>
      </c>
      <c r="BZ163" s="12">
        <f t="shared" si="562"/>
        <v>0</v>
      </c>
      <c r="CA163" s="12">
        <f t="shared" si="563"/>
        <v>0</v>
      </c>
      <c r="CB163" s="12">
        <f t="shared" si="564"/>
        <v>0</v>
      </c>
      <c r="CC163" s="12">
        <f t="shared" si="565"/>
        <v>0</v>
      </c>
      <c r="CD163" s="12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2"/>
      <c r="CQ163" s="17"/>
      <c r="CR163" s="17"/>
      <c r="CS163" s="17"/>
      <c r="CT163" s="17"/>
      <c r="CU163" s="17"/>
      <c r="CV163" s="12"/>
      <c r="CW163" s="17"/>
      <c r="CX163" s="17"/>
      <c r="CY163" s="17"/>
      <c r="CZ163" s="17"/>
      <c r="DA163" s="17"/>
      <c r="DB163" s="17"/>
      <c r="DC163" s="17"/>
      <c r="DD163" s="17"/>
      <c r="DE163" s="12"/>
      <c r="DF163" s="17"/>
      <c r="DG163" s="17"/>
      <c r="DH163" s="17"/>
      <c r="DI163" s="36">
        <f>(AT163+SUM(AU163:AX163)*50+SUM(AY163:CC163)-SUM(CD163:DH163))</f>
        <v>3</v>
      </c>
      <c r="DJ163" s="12">
        <f>DI163*50</f>
        <v>150</v>
      </c>
      <c r="DK163" s="12">
        <f t="shared" si="477"/>
        <v>0</v>
      </c>
      <c r="DL163" s="12">
        <f>DK163*50</f>
        <v>0</v>
      </c>
      <c r="DM163" s="12">
        <f t="shared" si="478"/>
        <v>0</v>
      </c>
      <c r="DN163" s="12">
        <f>DM163*50</f>
        <v>0</v>
      </c>
      <c r="DO163" s="12">
        <f t="shared" si="479"/>
        <v>0</v>
      </c>
      <c r="DP163" s="12">
        <f>DO163*50</f>
        <v>0</v>
      </c>
      <c r="DQ163" s="12">
        <f t="shared" si="480"/>
        <v>0</v>
      </c>
      <c r="DR163" s="12">
        <f>DQ163*50</f>
        <v>0</v>
      </c>
      <c r="DS163" s="12">
        <f t="shared" si="481"/>
        <v>0</v>
      </c>
      <c r="DT163" s="12">
        <f>DS163*50</f>
        <v>0</v>
      </c>
    </row>
    <row r="164" spans="1:124" ht="14.25" customHeight="1">
      <c r="A164" s="12">
        <v>160</v>
      </c>
      <c r="B164" s="19" t="s">
        <v>195</v>
      </c>
      <c r="C164" s="34"/>
      <c r="D164" s="101"/>
      <c r="E164" s="56">
        <v>3</v>
      </c>
      <c r="F164" s="103"/>
      <c r="G164" s="17"/>
      <c r="H164" s="17"/>
      <c r="I164" s="17"/>
      <c r="J164" s="17"/>
      <c r="K164" s="17"/>
      <c r="L164" s="17"/>
      <c r="M164" s="17"/>
      <c r="N164" s="17">
        <v>1</v>
      </c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2">
        <f t="shared" si="380"/>
        <v>2</v>
      </c>
      <c r="AP164" s="17">
        <f>AO164*1000</f>
        <v>2000</v>
      </c>
      <c r="AQ164" s="12">
        <f t="shared" si="572"/>
        <v>3100</v>
      </c>
      <c r="AR164" s="17"/>
      <c r="AS164" s="126">
        <f t="shared" si="573"/>
        <v>1100</v>
      </c>
      <c r="AT164" s="56">
        <v>100</v>
      </c>
      <c r="AU164" s="50"/>
      <c r="AV164" s="12"/>
      <c r="AW164" s="12"/>
      <c r="AX164" s="12"/>
      <c r="AY164" s="12">
        <f>J164*1000</f>
        <v>0</v>
      </c>
      <c r="AZ164" s="12">
        <f t="shared" ref="AZ164:CC164" si="588">K164*1000</f>
        <v>0</v>
      </c>
      <c r="BA164" s="12">
        <f t="shared" si="588"/>
        <v>0</v>
      </c>
      <c r="BB164" s="12">
        <f t="shared" si="588"/>
        <v>0</v>
      </c>
      <c r="BC164" s="12">
        <f t="shared" si="588"/>
        <v>1000</v>
      </c>
      <c r="BD164" s="12">
        <f t="shared" si="588"/>
        <v>0</v>
      </c>
      <c r="BE164" s="12">
        <f t="shared" si="588"/>
        <v>0</v>
      </c>
      <c r="BF164" s="12">
        <f t="shared" si="588"/>
        <v>0</v>
      </c>
      <c r="BG164" s="12">
        <f t="shared" si="588"/>
        <v>0</v>
      </c>
      <c r="BH164" s="12">
        <f t="shared" si="588"/>
        <v>0</v>
      </c>
      <c r="BI164" s="12">
        <f t="shared" si="588"/>
        <v>0</v>
      </c>
      <c r="BJ164" s="12">
        <f t="shared" si="588"/>
        <v>0</v>
      </c>
      <c r="BK164" s="12">
        <f t="shared" si="588"/>
        <v>0</v>
      </c>
      <c r="BL164" s="12">
        <f t="shared" si="588"/>
        <v>0</v>
      </c>
      <c r="BM164" s="12">
        <f t="shared" si="588"/>
        <v>0</v>
      </c>
      <c r="BN164" s="12">
        <f t="shared" si="588"/>
        <v>0</v>
      </c>
      <c r="BO164" s="12">
        <f t="shared" si="588"/>
        <v>0</v>
      </c>
      <c r="BP164" s="12">
        <f t="shared" si="588"/>
        <v>0</v>
      </c>
      <c r="BQ164" s="12">
        <f t="shared" si="588"/>
        <v>0</v>
      </c>
      <c r="BR164" s="12">
        <f t="shared" si="588"/>
        <v>0</v>
      </c>
      <c r="BS164" s="12">
        <f t="shared" si="588"/>
        <v>0</v>
      </c>
      <c r="BT164" s="12">
        <f t="shared" si="588"/>
        <v>0</v>
      </c>
      <c r="BU164" s="12">
        <f t="shared" si="588"/>
        <v>0</v>
      </c>
      <c r="BV164" s="12">
        <f t="shared" si="588"/>
        <v>0</v>
      </c>
      <c r="BW164" s="12">
        <f t="shared" si="588"/>
        <v>0</v>
      </c>
      <c r="BX164" s="12">
        <f t="shared" si="588"/>
        <v>0</v>
      </c>
      <c r="BY164" s="12">
        <f t="shared" si="588"/>
        <v>0</v>
      </c>
      <c r="BZ164" s="12">
        <f t="shared" si="588"/>
        <v>0</v>
      </c>
      <c r="CA164" s="12">
        <f t="shared" si="588"/>
        <v>0</v>
      </c>
      <c r="CB164" s="12">
        <f t="shared" si="588"/>
        <v>0</v>
      </c>
      <c r="CC164" s="12">
        <f t="shared" si="588"/>
        <v>0</v>
      </c>
      <c r="CD164" s="12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2"/>
      <c r="CQ164" s="17"/>
      <c r="CR164" s="17"/>
      <c r="CS164" s="17"/>
      <c r="CT164" s="17"/>
      <c r="CU164" s="17"/>
      <c r="CV164" s="12"/>
      <c r="CW164" s="17"/>
      <c r="CX164" s="17"/>
      <c r="CY164" s="17"/>
      <c r="CZ164" s="17"/>
      <c r="DA164" s="17"/>
      <c r="DB164" s="17"/>
      <c r="DC164" s="17"/>
      <c r="DD164" s="17"/>
      <c r="DE164" s="12"/>
      <c r="DF164" s="17"/>
      <c r="DG164" s="17"/>
      <c r="DH164" s="17"/>
      <c r="DI164" s="36">
        <f>(AT164+SUM(AU164:AX164)+SUM(AY164:CC164)-SUM(CD164:DH164))</f>
        <v>1100</v>
      </c>
      <c r="DJ164" s="12">
        <f>DI164</f>
        <v>1100</v>
      </c>
      <c r="DK164" s="12">
        <f t="shared" si="477"/>
        <v>0</v>
      </c>
      <c r="DL164" s="12">
        <f t="shared" ref="DL164:DL165" si="589">DK164*1000</f>
        <v>0</v>
      </c>
      <c r="DM164" s="12">
        <f t="shared" si="478"/>
        <v>0</v>
      </c>
      <c r="DN164" s="12">
        <f t="shared" ref="DN164:DN165" si="590">DM164*1000</f>
        <v>0</v>
      </c>
      <c r="DO164" s="12">
        <f t="shared" si="479"/>
        <v>0</v>
      </c>
      <c r="DP164" s="12">
        <f t="shared" ref="DP164:DP165" si="591">DO164*1000</f>
        <v>0</v>
      </c>
      <c r="DQ164" s="12">
        <f t="shared" si="480"/>
        <v>0</v>
      </c>
      <c r="DR164" s="12">
        <f t="shared" ref="DR164:DR165" si="592">DQ164*1000</f>
        <v>0</v>
      </c>
      <c r="DS164" s="12">
        <f t="shared" si="481"/>
        <v>0</v>
      </c>
      <c r="DT164" s="12">
        <f t="shared" ref="DT164:DT165" si="593">DS164*1000</f>
        <v>0</v>
      </c>
    </row>
    <row r="165" spans="1:124" ht="14.25" customHeight="1">
      <c r="A165" s="12">
        <v>161</v>
      </c>
      <c r="B165" s="19" t="s">
        <v>196</v>
      </c>
      <c r="C165" s="14"/>
      <c r="D165" s="95"/>
      <c r="E165" s="56">
        <v>0</v>
      </c>
      <c r="F165" s="103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2">
        <f t="shared" si="380"/>
        <v>0</v>
      </c>
      <c r="AP165" s="17">
        <f t="shared" ref="AP165" si="594">AO165*1000</f>
        <v>0</v>
      </c>
      <c r="AQ165" s="12">
        <f t="shared" si="572"/>
        <v>920</v>
      </c>
      <c r="AR165" s="17"/>
      <c r="AS165" s="126">
        <f t="shared" si="573"/>
        <v>920</v>
      </c>
      <c r="AT165" s="56">
        <v>920</v>
      </c>
      <c r="AU165" s="50"/>
      <c r="AV165" s="12"/>
      <c r="AW165" s="12"/>
      <c r="AX165" s="12"/>
      <c r="AY165" s="12">
        <f t="shared" si="535"/>
        <v>0</v>
      </c>
      <c r="AZ165" s="12">
        <f t="shared" si="536"/>
        <v>0</v>
      </c>
      <c r="BA165" s="12">
        <f t="shared" si="537"/>
        <v>0</v>
      </c>
      <c r="BB165" s="12">
        <f t="shared" si="538"/>
        <v>0</v>
      </c>
      <c r="BC165" s="12">
        <f t="shared" si="539"/>
        <v>0</v>
      </c>
      <c r="BD165" s="12">
        <f t="shared" si="540"/>
        <v>0</v>
      </c>
      <c r="BE165" s="12">
        <f t="shared" si="541"/>
        <v>0</v>
      </c>
      <c r="BF165" s="12">
        <f t="shared" si="542"/>
        <v>0</v>
      </c>
      <c r="BG165" s="12">
        <f t="shared" si="543"/>
        <v>0</v>
      </c>
      <c r="BH165" s="12">
        <f t="shared" si="544"/>
        <v>0</v>
      </c>
      <c r="BI165" s="12">
        <f t="shared" si="545"/>
        <v>0</v>
      </c>
      <c r="BJ165" s="12">
        <f t="shared" si="546"/>
        <v>0</v>
      </c>
      <c r="BK165" s="12">
        <f t="shared" si="547"/>
        <v>0</v>
      </c>
      <c r="BL165" s="12">
        <f t="shared" si="548"/>
        <v>0</v>
      </c>
      <c r="BM165" s="12">
        <f t="shared" si="549"/>
        <v>0</v>
      </c>
      <c r="BN165" s="12">
        <f t="shared" si="550"/>
        <v>0</v>
      </c>
      <c r="BO165" s="12">
        <f t="shared" si="551"/>
        <v>0</v>
      </c>
      <c r="BP165" s="12">
        <f t="shared" si="552"/>
        <v>0</v>
      </c>
      <c r="BQ165" s="12">
        <f t="shared" si="553"/>
        <v>0</v>
      </c>
      <c r="BR165" s="12">
        <f t="shared" si="554"/>
        <v>0</v>
      </c>
      <c r="BS165" s="12">
        <f t="shared" si="555"/>
        <v>0</v>
      </c>
      <c r="BT165" s="12">
        <f t="shared" si="556"/>
        <v>0</v>
      </c>
      <c r="BU165" s="12">
        <f t="shared" si="557"/>
        <v>0</v>
      </c>
      <c r="BV165" s="12">
        <f t="shared" si="558"/>
        <v>0</v>
      </c>
      <c r="BW165" s="12">
        <f t="shared" si="559"/>
        <v>0</v>
      </c>
      <c r="BX165" s="12">
        <f t="shared" si="560"/>
        <v>0</v>
      </c>
      <c r="BY165" s="12">
        <f t="shared" si="561"/>
        <v>0</v>
      </c>
      <c r="BZ165" s="12">
        <f t="shared" si="562"/>
        <v>0</v>
      </c>
      <c r="CA165" s="12">
        <f t="shared" si="563"/>
        <v>0</v>
      </c>
      <c r="CB165" s="12">
        <f t="shared" si="564"/>
        <v>0</v>
      </c>
      <c r="CC165" s="12">
        <f t="shared" si="565"/>
        <v>0</v>
      </c>
      <c r="CD165" s="12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2"/>
      <c r="CQ165" s="17"/>
      <c r="CR165" s="17"/>
      <c r="CS165" s="17"/>
      <c r="CT165" s="17"/>
      <c r="CU165" s="17"/>
      <c r="CV165" s="12"/>
      <c r="CW165" s="17"/>
      <c r="CX165" s="17"/>
      <c r="CY165" s="17"/>
      <c r="CZ165" s="17"/>
      <c r="DA165" s="17"/>
      <c r="DB165" s="17"/>
      <c r="DC165" s="17"/>
      <c r="DD165" s="17"/>
      <c r="DE165" s="12"/>
      <c r="DF165" s="17"/>
      <c r="DG165" s="17"/>
      <c r="DH165" s="17"/>
      <c r="DI165" s="36">
        <f>(AT165+SUM(AU165:AX165)+SUM(AY165:CC165)-SUM(CD165:DH165))</f>
        <v>920</v>
      </c>
      <c r="DJ165" s="12">
        <f>DI165</f>
        <v>920</v>
      </c>
      <c r="DK165" s="12">
        <f t="shared" si="477"/>
        <v>0</v>
      </c>
      <c r="DL165" s="12">
        <f t="shared" si="589"/>
        <v>0</v>
      </c>
      <c r="DM165" s="12">
        <f t="shared" si="478"/>
        <v>0</v>
      </c>
      <c r="DN165" s="12">
        <f t="shared" si="590"/>
        <v>0</v>
      </c>
      <c r="DO165" s="12">
        <f t="shared" si="479"/>
        <v>0</v>
      </c>
      <c r="DP165" s="12">
        <f t="shared" si="591"/>
        <v>0</v>
      </c>
      <c r="DQ165" s="12">
        <f t="shared" si="480"/>
        <v>0</v>
      </c>
      <c r="DR165" s="12">
        <f t="shared" si="592"/>
        <v>0</v>
      </c>
      <c r="DS165" s="12">
        <f t="shared" si="481"/>
        <v>0</v>
      </c>
      <c r="DT165" s="12">
        <f t="shared" si="593"/>
        <v>0</v>
      </c>
    </row>
    <row r="166" spans="1:124" ht="14.25" customHeight="1">
      <c r="A166" s="12">
        <v>162</v>
      </c>
      <c r="B166" s="19" t="s">
        <v>197</v>
      </c>
      <c r="C166" s="14"/>
      <c r="D166" s="95"/>
      <c r="E166" s="56">
        <v>4</v>
      </c>
      <c r="F166" s="103"/>
      <c r="G166" s="17"/>
      <c r="H166" s="17"/>
      <c r="I166" s="17"/>
      <c r="J166" s="17">
        <v>1</v>
      </c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>
        <v>1</v>
      </c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2">
        <f t="shared" si="380"/>
        <v>2</v>
      </c>
      <c r="AP166" s="17">
        <f>AO166*500</f>
        <v>1000</v>
      </c>
      <c r="AQ166" s="12">
        <f t="shared" si="572"/>
        <v>2000</v>
      </c>
      <c r="AR166" s="17"/>
      <c r="AS166" s="126">
        <f t="shared" si="573"/>
        <v>20</v>
      </c>
      <c r="AT166" s="56">
        <v>0</v>
      </c>
      <c r="AU166" s="50"/>
      <c r="AV166" s="12"/>
      <c r="AW166" s="12"/>
      <c r="AX166" s="12"/>
      <c r="AY166" s="12">
        <f>J166*10</f>
        <v>10</v>
      </c>
      <c r="AZ166" s="12">
        <f t="shared" ref="AZ166:BE167" si="595">K166*10</f>
        <v>0</v>
      </c>
      <c r="BA166" s="12">
        <f t="shared" si="595"/>
        <v>0</v>
      </c>
      <c r="BB166" s="12">
        <f t="shared" si="595"/>
        <v>0</v>
      </c>
      <c r="BC166" s="12">
        <f t="shared" si="595"/>
        <v>0</v>
      </c>
      <c r="BD166" s="12">
        <f t="shared" si="595"/>
        <v>0</v>
      </c>
      <c r="BE166" s="12">
        <f t="shared" si="595"/>
        <v>0</v>
      </c>
      <c r="BF166" s="12">
        <f t="shared" ref="BF166:BF167" si="596">Q166*10</f>
        <v>0</v>
      </c>
      <c r="BG166" s="12">
        <f t="shared" ref="BG166:BG167" si="597">R166*10</f>
        <v>0</v>
      </c>
      <c r="BH166" s="12">
        <f t="shared" ref="BH166:BH167" si="598">S166*10</f>
        <v>0</v>
      </c>
      <c r="BI166" s="12">
        <f t="shared" ref="BI166:BI167" si="599">T166*10</f>
        <v>0</v>
      </c>
      <c r="BJ166" s="12">
        <f t="shared" ref="BJ166:BJ167" si="600">U166*10</f>
        <v>0</v>
      </c>
      <c r="BK166" s="12">
        <f t="shared" ref="BK166:BK167" si="601">V166*10</f>
        <v>0</v>
      </c>
      <c r="BL166" s="12">
        <f t="shared" ref="BL166:BL167" si="602">W166*10</f>
        <v>0</v>
      </c>
      <c r="BM166" s="12">
        <f t="shared" ref="BM166:BM167" si="603">X166*10</f>
        <v>0</v>
      </c>
      <c r="BN166" s="12">
        <f t="shared" ref="BN166:BN167" si="604">Y166*10</f>
        <v>0</v>
      </c>
      <c r="BO166" s="12">
        <f t="shared" ref="BO166:BO167" si="605">Z166*10</f>
        <v>10</v>
      </c>
      <c r="BP166" s="12">
        <f t="shared" ref="BP166:BP167" si="606">AA166*10</f>
        <v>0</v>
      </c>
      <c r="BQ166" s="12">
        <f t="shared" ref="BQ166:BQ167" si="607">AB166*10</f>
        <v>0</v>
      </c>
      <c r="BR166" s="12">
        <f t="shared" ref="BR166:BR167" si="608">AC166*10</f>
        <v>0</v>
      </c>
      <c r="BS166" s="12">
        <f t="shared" ref="BS166:BS167" si="609">AD166*10</f>
        <v>0</v>
      </c>
      <c r="BT166" s="12">
        <f t="shared" ref="BT166:BT167" si="610">AE166*10</f>
        <v>0</v>
      </c>
      <c r="BU166" s="12">
        <f t="shared" ref="BU166:BU167" si="611">AF166*10</f>
        <v>0</v>
      </c>
      <c r="BV166" s="12">
        <f t="shared" ref="BV166:BV167" si="612">AG166*10</f>
        <v>0</v>
      </c>
      <c r="BW166" s="12">
        <f t="shared" ref="BW166:BW167" si="613">AH166*10</f>
        <v>0</v>
      </c>
      <c r="BX166" s="12">
        <f t="shared" ref="BX166:BX167" si="614">AI166*10</f>
        <v>0</v>
      </c>
      <c r="BY166" s="12">
        <f t="shared" ref="BY166:BY167" si="615">AJ166*10</f>
        <v>0</v>
      </c>
      <c r="BZ166" s="12">
        <f t="shared" ref="BZ166:BZ167" si="616">AK166*10</f>
        <v>0</v>
      </c>
      <c r="CA166" s="12">
        <f t="shared" ref="CA166:CA167" si="617">AL166*10</f>
        <v>0</v>
      </c>
      <c r="CB166" s="12">
        <f t="shared" ref="CB166:CB167" si="618">AM166*10</f>
        <v>0</v>
      </c>
      <c r="CC166" s="12">
        <f t="shared" ref="CC166:CC167" si="619">AN166*10</f>
        <v>0</v>
      </c>
      <c r="CD166" s="12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2"/>
      <c r="CQ166" s="17"/>
      <c r="CR166" s="17"/>
      <c r="CS166" s="17"/>
      <c r="CT166" s="17"/>
      <c r="CU166" s="17"/>
      <c r="CV166" s="12"/>
      <c r="CW166" s="17"/>
      <c r="CX166" s="17"/>
      <c r="CY166" s="17"/>
      <c r="CZ166" s="17"/>
      <c r="DA166" s="17"/>
      <c r="DB166" s="17"/>
      <c r="DC166" s="17"/>
      <c r="DD166" s="17"/>
      <c r="DE166" s="12"/>
      <c r="DF166" s="17"/>
      <c r="DG166" s="17"/>
      <c r="DH166" s="17"/>
      <c r="DI166" s="36">
        <f>(AT166+SUM(AU166:AX166)*500+SUM(AY166:CC166)-SUM(CD166:DH166))</f>
        <v>20</v>
      </c>
      <c r="DJ166" s="12">
        <f t="shared" ref="DJ166:DJ168" si="620">DI166*50</f>
        <v>1000</v>
      </c>
      <c r="DK166" s="12">
        <f t="shared" si="477"/>
        <v>0</v>
      </c>
      <c r="DL166" s="12">
        <f t="shared" ref="DL166:DL169" si="621">DK166*50</f>
        <v>0</v>
      </c>
      <c r="DM166" s="12">
        <f t="shared" si="478"/>
        <v>0</v>
      </c>
      <c r="DN166" s="12">
        <f t="shared" ref="DN166:DN169" si="622">DM166*50</f>
        <v>0</v>
      </c>
      <c r="DO166" s="12">
        <f t="shared" si="479"/>
        <v>0</v>
      </c>
      <c r="DP166" s="12">
        <f t="shared" ref="DP166:DP169" si="623">DO166*50</f>
        <v>0</v>
      </c>
      <c r="DQ166" s="12">
        <f t="shared" si="480"/>
        <v>0</v>
      </c>
      <c r="DR166" s="12">
        <f t="shared" ref="DR166:DR169" si="624">DQ166*50</f>
        <v>0</v>
      </c>
      <c r="DS166" s="12">
        <f t="shared" si="481"/>
        <v>0</v>
      </c>
      <c r="DT166" s="12">
        <f t="shared" ref="DT166:DT168" si="625">DS166*50</f>
        <v>0</v>
      </c>
    </row>
    <row r="167" spans="1:124" ht="14.25" customHeight="1">
      <c r="A167" s="12">
        <v>163</v>
      </c>
      <c r="B167" s="19" t="s">
        <v>198</v>
      </c>
      <c r="C167" s="14"/>
      <c r="D167" s="95"/>
      <c r="E167" s="56">
        <v>3</v>
      </c>
      <c r="F167" s="103"/>
      <c r="G167" s="17"/>
      <c r="H167" s="17"/>
      <c r="I167" s="17"/>
      <c r="J167" s="17">
        <v>1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>
        <v>1</v>
      </c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2">
        <f>E167+F167+G167+H167+I167-J167-K167-L167-M167-N167-O167-P167-Q167-R167-S167-T167-U167-V167-W167-X167-Y167-Z167-AA167-AB167-AC167-AD167-AE167-AF167-AG167-AH167-AI167-AJ167-AK167-AL167-AM167-AN167</f>
        <v>1</v>
      </c>
      <c r="AP167" s="17">
        <f>AO167*500</f>
        <v>500</v>
      </c>
      <c r="AQ167" s="12">
        <f t="shared" si="572"/>
        <v>1550</v>
      </c>
      <c r="AR167" s="17"/>
      <c r="AS167" s="126">
        <f t="shared" si="573"/>
        <v>21</v>
      </c>
      <c r="AT167" s="56">
        <v>1</v>
      </c>
      <c r="AU167" s="50"/>
      <c r="AV167" s="12"/>
      <c r="AW167" s="12"/>
      <c r="AX167" s="12"/>
      <c r="AY167" s="12">
        <f>J167*10</f>
        <v>10</v>
      </c>
      <c r="AZ167" s="12">
        <f t="shared" si="595"/>
        <v>0</v>
      </c>
      <c r="BA167" s="12">
        <f t="shared" si="595"/>
        <v>0</v>
      </c>
      <c r="BB167" s="12">
        <f t="shared" si="595"/>
        <v>0</v>
      </c>
      <c r="BC167" s="12">
        <f t="shared" si="595"/>
        <v>0</v>
      </c>
      <c r="BD167" s="12">
        <f t="shared" si="595"/>
        <v>0</v>
      </c>
      <c r="BE167" s="12">
        <f t="shared" si="595"/>
        <v>0</v>
      </c>
      <c r="BF167" s="12">
        <f t="shared" si="596"/>
        <v>0</v>
      </c>
      <c r="BG167" s="12">
        <f t="shared" si="597"/>
        <v>0</v>
      </c>
      <c r="BH167" s="12">
        <f t="shared" si="598"/>
        <v>0</v>
      </c>
      <c r="BI167" s="12">
        <f t="shared" si="599"/>
        <v>0</v>
      </c>
      <c r="BJ167" s="12">
        <f t="shared" si="600"/>
        <v>0</v>
      </c>
      <c r="BK167" s="12">
        <f t="shared" si="601"/>
        <v>0</v>
      </c>
      <c r="BL167" s="12">
        <f t="shared" si="602"/>
        <v>0</v>
      </c>
      <c r="BM167" s="12">
        <f t="shared" si="603"/>
        <v>0</v>
      </c>
      <c r="BN167" s="12">
        <f t="shared" si="604"/>
        <v>0</v>
      </c>
      <c r="BO167" s="12">
        <f t="shared" si="605"/>
        <v>10</v>
      </c>
      <c r="BP167" s="12">
        <f t="shared" si="606"/>
        <v>0</v>
      </c>
      <c r="BQ167" s="12">
        <f t="shared" si="607"/>
        <v>0</v>
      </c>
      <c r="BR167" s="12">
        <f t="shared" si="608"/>
        <v>0</v>
      </c>
      <c r="BS167" s="12">
        <f t="shared" si="609"/>
        <v>0</v>
      </c>
      <c r="BT167" s="12">
        <f t="shared" si="610"/>
        <v>0</v>
      </c>
      <c r="BU167" s="12">
        <f t="shared" si="611"/>
        <v>0</v>
      </c>
      <c r="BV167" s="12">
        <f t="shared" si="612"/>
        <v>0</v>
      </c>
      <c r="BW167" s="12">
        <f t="shared" si="613"/>
        <v>0</v>
      </c>
      <c r="BX167" s="12">
        <f t="shared" si="614"/>
        <v>0</v>
      </c>
      <c r="BY167" s="12">
        <f t="shared" si="615"/>
        <v>0</v>
      </c>
      <c r="BZ167" s="12">
        <f t="shared" si="616"/>
        <v>0</v>
      </c>
      <c r="CA167" s="12">
        <f t="shared" si="617"/>
        <v>0</v>
      </c>
      <c r="CB167" s="12">
        <f t="shared" si="618"/>
        <v>0</v>
      </c>
      <c r="CC167" s="12">
        <f t="shared" si="619"/>
        <v>0</v>
      </c>
      <c r="CD167" s="12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2"/>
      <c r="CQ167" s="17"/>
      <c r="CR167" s="17"/>
      <c r="CS167" s="17"/>
      <c r="CT167" s="17"/>
      <c r="CU167" s="17"/>
      <c r="CV167" s="12"/>
      <c r="CW167" s="17"/>
      <c r="CX167" s="17"/>
      <c r="CY167" s="17"/>
      <c r="CZ167" s="17"/>
      <c r="DA167" s="17"/>
      <c r="DB167" s="17"/>
      <c r="DC167" s="17"/>
      <c r="DD167" s="17"/>
      <c r="DE167" s="12"/>
      <c r="DF167" s="17"/>
      <c r="DG167" s="17"/>
      <c r="DH167" s="17"/>
      <c r="DI167" s="36">
        <f>(AT167+SUM(AU167:AX167)*500+SUM(AY167:CC167)-SUM(CD167:DH167))</f>
        <v>21</v>
      </c>
      <c r="DJ167" s="12">
        <f t="shared" si="620"/>
        <v>1050</v>
      </c>
      <c r="DK167" s="12">
        <f t="shared" si="477"/>
        <v>0</v>
      </c>
      <c r="DL167" s="12">
        <f t="shared" si="621"/>
        <v>0</v>
      </c>
      <c r="DM167" s="12">
        <f t="shared" si="478"/>
        <v>0</v>
      </c>
      <c r="DN167" s="12">
        <f t="shared" si="622"/>
        <v>0</v>
      </c>
      <c r="DO167" s="12">
        <f t="shared" si="479"/>
        <v>0</v>
      </c>
      <c r="DP167" s="12">
        <f t="shared" si="623"/>
        <v>0</v>
      </c>
      <c r="DQ167" s="12">
        <f t="shared" si="480"/>
        <v>0</v>
      </c>
      <c r="DR167" s="12">
        <f t="shared" si="624"/>
        <v>0</v>
      </c>
      <c r="DS167" s="12">
        <f t="shared" si="481"/>
        <v>0</v>
      </c>
      <c r="DT167" s="12">
        <f t="shared" si="625"/>
        <v>0</v>
      </c>
    </row>
    <row r="168" spans="1:124" ht="14.25" customHeight="1">
      <c r="A168" s="12">
        <v>164</v>
      </c>
      <c r="B168" s="19" t="s">
        <v>199</v>
      </c>
      <c r="C168" s="14"/>
      <c r="D168" s="95"/>
      <c r="E168" s="56">
        <v>5</v>
      </c>
      <c r="F168" s="103"/>
      <c r="G168" s="17">
        <v>4</v>
      </c>
      <c r="H168" s="17"/>
      <c r="I168" s="17"/>
      <c r="J168" s="17">
        <v>2</v>
      </c>
      <c r="K168" s="17"/>
      <c r="L168" s="17"/>
      <c r="M168" s="17"/>
      <c r="N168" s="17"/>
      <c r="O168" s="17"/>
      <c r="P168" s="17"/>
      <c r="Q168" s="17">
        <v>3</v>
      </c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2">
        <f t="shared" si="380"/>
        <v>4</v>
      </c>
      <c r="AP168" s="17">
        <f>AO168*1000</f>
        <v>4000</v>
      </c>
      <c r="AQ168" s="12">
        <f t="shared" si="572"/>
        <v>7150</v>
      </c>
      <c r="AR168" s="17"/>
      <c r="AS168" s="126">
        <f t="shared" si="573"/>
        <v>63</v>
      </c>
      <c r="AT168" s="56">
        <v>20</v>
      </c>
      <c r="AU168" s="50"/>
      <c r="AV168" s="12"/>
      <c r="AW168" s="12"/>
      <c r="AX168" s="12"/>
      <c r="AY168" s="12">
        <f>J168*20</f>
        <v>40</v>
      </c>
      <c r="AZ168" s="12">
        <f t="shared" si="536"/>
        <v>0</v>
      </c>
      <c r="BA168" s="12">
        <f t="shared" si="537"/>
        <v>0</v>
      </c>
      <c r="BB168" s="12">
        <f t="shared" si="538"/>
        <v>0</v>
      </c>
      <c r="BC168" s="12">
        <f t="shared" si="539"/>
        <v>0</v>
      </c>
      <c r="BD168" s="12">
        <f t="shared" si="540"/>
        <v>0</v>
      </c>
      <c r="BE168" s="12">
        <f t="shared" si="541"/>
        <v>0</v>
      </c>
      <c r="BF168" s="12">
        <f t="shared" si="542"/>
        <v>3</v>
      </c>
      <c r="BG168" s="12">
        <f t="shared" si="543"/>
        <v>0</v>
      </c>
      <c r="BH168" s="12">
        <f t="shared" si="544"/>
        <v>0</v>
      </c>
      <c r="BI168" s="12">
        <f t="shared" si="545"/>
        <v>0</v>
      </c>
      <c r="BJ168" s="12">
        <f t="shared" si="546"/>
        <v>0</v>
      </c>
      <c r="BK168" s="12">
        <f t="shared" si="547"/>
        <v>0</v>
      </c>
      <c r="BL168" s="12">
        <f t="shared" si="548"/>
        <v>0</v>
      </c>
      <c r="BM168" s="12">
        <f t="shared" si="549"/>
        <v>0</v>
      </c>
      <c r="BN168" s="12">
        <f t="shared" si="550"/>
        <v>0</v>
      </c>
      <c r="BO168" s="12">
        <f t="shared" si="551"/>
        <v>0</v>
      </c>
      <c r="BP168" s="12">
        <f t="shared" si="552"/>
        <v>0</v>
      </c>
      <c r="BQ168" s="12">
        <f t="shared" si="553"/>
        <v>0</v>
      </c>
      <c r="BR168" s="12">
        <f t="shared" si="554"/>
        <v>0</v>
      </c>
      <c r="BS168" s="12">
        <f t="shared" si="555"/>
        <v>0</v>
      </c>
      <c r="BT168" s="12">
        <f t="shared" si="556"/>
        <v>0</v>
      </c>
      <c r="BU168" s="12">
        <f t="shared" si="557"/>
        <v>0</v>
      </c>
      <c r="BV168" s="12">
        <f t="shared" si="558"/>
        <v>0</v>
      </c>
      <c r="BW168" s="12">
        <f t="shared" si="559"/>
        <v>0</v>
      </c>
      <c r="BX168" s="12">
        <f t="shared" si="560"/>
        <v>0</v>
      </c>
      <c r="BY168" s="12">
        <f t="shared" si="561"/>
        <v>0</v>
      </c>
      <c r="BZ168" s="12">
        <f t="shared" si="562"/>
        <v>0</v>
      </c>
      <c r="CA168" s="12">
        <f t="shared" si="563"/>
        <v>0</v>
      </c>
      <c r="CB168" s="12">
        <f t="shared" si="564"/>
        <v>0</v>
      </c>
      <c r="CC168" s="12">
        <f t="shared" si="565"/>
        <v>0</v>
      </c>
      <c r="CD168" s="12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2"/>
      <c r="CQ168" s="17"/>
      <c r="CR168" s="17"/>
      <c r="CS168" s="17"/>
      <c r="CT168" s="17"/>
      <c r="CU168" s="17"/>
      <c r="CV168" s="12"/>
      <c r="CW168" s="17"/>
      <c r="CX168" s="17"/>
      <c r="CY168" s="17"/>
      <c r="CZ168" s="17"/>
      <c r="DA168" s="17"/>
      <c r="DB168" s="17"/>
      <c r="DC168" s="17"/>
      <c r="DD168" s="17"/>
      <c r="DE168" s="12"/>
      <c r="DF168" s="17"/>
      <c r="DG168" s="17"/>
      <c r="DH168" s="17"/>
      <c r="DI168" s="36">
        <f>(AT168+SUM(AU168:AX168)*1000+SUM(AY168:CC168)-SUM(CD168:DH168))</f>
        <v>63</v>
      </c>
      <c r="DJ168" s="12">
        <f t="shared" si="620"/>
        <v>3150</v>
      </c>
      <c r="DK168" s="12">
        <f t="shared" si="477"/>
        <v>0</v>
      </c>
      <c r="DL168" s="12">
        <f t="shared" si="621"/>
        <v>0</v>
      </c>
      <c r="DM168" s="12">
        <f t="shared" si="478"/>
        <v>0</v>
      </c>
      <c r="DN168" s="12">
        <f t="shared" si="622"/>
        <v>0</v>
      </c>
      <c r="DO168" s="12">
        <f t="shared" si="479"/>
        <v>0</v>
      </c>
      <c r="DP168" s="12">
        <f t="shared" si="623"/>
        <v>0</v>
      </c>
      <c r="DQ168" s="12">
        <f t="shared" si="480"/>
        <v>0</v>
      </c>
      <c r="DR168" s="12">
        <f t="shared" si="624"/>
        <v>0</v>
      </c>
      <c r="DS168" s="12">
        <f t="shared" si="481"/>
        <v>0</v>
      </c>
      <c r="DT168" s="12">
        <f t="shared" si="625"/>
        <v>0</v>
      </c>
    </row>
    <row r="169" spans="1:124" ht="14.25" customHeight="1">
      <c r="A169" s="12">
        <v>165</v>
      </c>
      <c r="B169" s="19" t="s">
        <v>200</v>
      </c>
      <c r="C169" s="14"/>
      <c r="D169" s="95"/>
      <c r="E169" s="56">
        <v>80</v>
      </c>
      <c r="F169" s="103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2">
        <f t="shared" si="380"/>
        <v>80</v>
      </c>
      <c r="AP169" s="151">
        <f>(AO169*50)+(AO170*100)</f>
        <v>8000</v>
      </c>
      <c r="AQ169" s="151">
        <f t="shared" si="572"/>
        <v>11400</v>
      </c>
      <c r="AR169" s="17"/>
      <c r="AS169" s="126">
        <f t="shared" si="573"/>
        <v>28</v>
      </c>
      <c r="AT169" s="56">
        <v>28</v>
      </c>
      <c r="AU169" s="50"/>
      <c r="AV169" s="12"/>
      <c r="AW169" s="12"/>
      <c r="AX169" s="12"/>
      <c r="AY169" s="12">
        <f t="shared" si="535"/>
        <v>0</v>
      </c>
      <c r="AZ169" s="12">
        <f t="shared" si="536"/>
        <v>0</v>
      </c>
      <c r="BA169" s="12">
        <f t="shared" si="537"/>
        <v>0</v>
      </c>
      <c r="BB169" s="12">
        <f t="shared" si="538"/>
        <v>0</v>
      </c>
      <c r="BC169" s="12">
        <f t="shared" si="539"/>
        <v>0</v>
      </c>
      <c r="BD169" s="12">
        <f t="shared" si="540"/>
        <v>0</v>
      </c>
      <c r="BE169" s="12">
        <f t="shared" si="541"/>
        <v>0</v>
      </c>
      <c r="BF169" s="12">
        <f t="shared" si="542"/>
        <v>0</v>
      </c>
      <c r="BG169" s="12">
        <f t="shared" si="543"/>
        <v>0</v>
      </c>
      <c r="BH169" s="12">
        <f t="shared" si="544"/>
        <v>0</v>
      </c>
      <c r="BI169" s="12">
        <f t="shared" si="545"/>
        <v>0</v>
      </c>
      <c r="BJ169" s="12">
        <f t="shared" si="546"/>
        <v>0</v>
      </c>
      <c r="BK169" s="12">
        <f t="shared" si="547"/>
        <v>0</v>
      </c>
      <c r="BL169" s="12">
        <f t="shared" si="548"/>
        <v>0</v>
      </c>
      <c r="BM169" s="12">
        <f t="shared" si="549"/>
        <v>0</v>
      </c>
      <c r="BN169" s="12">
        <f t="shared" si="550"/>
        <v>0</v>
      </c>
      <c r="BO169" s="12">
        <f t="shared" si="551"/>
        <v>0</v>
      </c>
      <c r="BP169" s="12">
        <f t="shared" si="552"/>
        <v>0</v>
      </c>
      <c r="BQ169" s="12">
        <f t="shared" si="553"/>
        <v>0</v>
      </c>
      <c r="BR169" s="12">
        <f t="shared" si="554"/>
        <v>0</v>
      </c>
      <c r="BS169" s="12">
        <f t="shared" si="555"/>
        <v>0</v>
      </c>
      <c r="BT169" s="12">
        <f t="shared" si="556"/>
        <v>0</v>
      </c>
      <c r="BU169" s="12">
        <f t="shared" si="557"/>
        <v>0</v>
      </c>
      <c r="BV169" s="12">
        <f t="shared" si="558"/>
        <v>0</v>
      </c>
      <c r="BW169" s="12">
        <f t="shared" si="559"/>
        <v>0</v>
      </c>
      <c r="BX169" s="12">
        <f t="shared" si="560"/>
        <v>0</v>
      </c>
      <c r="BY169" s="12">
        <f t="shared" si="561"/>
        <v>0</v>
      </c>
      <c r="BZ169" s="12">
        <f t="shared" si="562"/>
        <v>0</v>
      </c>
      <c r="CA169" s="12">
        <f t="shared" si="563"/>
        <v>0</v>
      </c>
      <c r="CB169" s="12">
        <f t="shared" si="564"/>
        <v>0</v>
      </c>
      <c r="CC169" s="12">
        <f t="shared" si="565"/>
        <v>0</v>
      </c>
      <c r="CD169" s="12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2"/>
      <c r="CQ169" s="17"/>
      <c r="CR169" s="17"/>
      <c r="CS169" s="17"/>
      <c r="CT169" s="17"/>
      <c r="CU169" s="17"/>
      <c r="CV169" s="12"/>
      <c r="CW169" s="17"/>
      <c r="CX169" s="17"/>
      <c r="CY169" s="17"/>
      <c r="CZ169" s="17"/>
      <c r="DA169" s="17"/>
      <c r="DB169" s="17"/>
      <c r="DC169" s="17"/>
      <c r="DD169" s="17"/>
      <c r="DE169" s="12"/>
      <c r="DF169" s="17"/>
      <c r="DG169" s="17"/>
      <c r="DH169" s="17"/>
      <c r="DI169" s="36">
        <f>(AT169+SUM(AU169:AX169)*2000+SUM(AY169:CC169)-SUM(CD169:DH169))</f>
        <v>28</v>
      </c>
      <c r="DJ169" s="151">
        <f>(DI169*50)+(DI170*100)</f>
        <v>3400</v>
      </c>
      <c r="DK169" s="12">
        <f t="shared" si="477"/>
        <v>0</v>
      </c>
      <c r="DL169" s="12">
        <f t="shared" si="621"/>
        <v>0</v>
      </c>
      <c r="DM169" s="12">
        <f t="shared" si="478"/>
        <v>0</v>
      </c>
      <c r="DN169" s="12">
        <f t="shared" si="622"/>
        <v>0</v>
      </c>
      <c r="DO169" s="12">
        <f t="shared" si="479"/>
        <v>0</v>
      </c>
      <c r="DP169" s="12">
        <f t="shared" si="623"/>
        <v>0</v>
      </c>
      <c r="DQ169" s="12">
        <f t="shared" si="480"/>
        <v>0</v>
      </c>
      <c r="DR169" s="12">
        <f t="shared" si="624"/>
        <v>0</v>
      </c>
      <c r="DS169" s="12">
        <f t="shared" si="481"/>
        <v>0</v>
      </c>
      <c r="DT169" s="151">
        <f>(DS169*50)+(DS170*100)</f>
        <v>0</v>
      </c>
    </row>
    <row r="170" spans="1:124" ht="14.25" customHeight="1">
      <c r="A170" s="12">
        <v>166</v>
      </c>
      <c r="B170" s="19" t="s">
        <v>201</v>
      </c>
      <c r="C170" s="14"/>
      <c r="D170" s="95"/>
      <c r="E170" s="56">
        <v>60</v>
      </c>
      <c r="F170" s="103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>
        <v>20</v>
      </c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2">
        <f t="shared" si="380"/>
        <v>40</v>
      </c>
      <c r="AP170" s="152"/>
      <c r="AQ170" s="152"/>
      <c r="AR170" s="17"/>
      <c r="AS170" s="126">
        <f t="shared" si="573"/>
        <v>20</v>
      </c>
      <c r="AT170" s="56">
        <v>0</v>
      </c>
      <c r="AU170" s="50"/>
      <c r="AV170" s="12"/>
      <c r="AW170" s="12"/>
      <c r="AX170" s="12"/>
      <c r="AY170" s="12">
        <f t="shared" si="535"/>
        <v>0</v>
      </c>
      <c r="AZ170" s="12">
        <f t="shared" si="536"/>
        <v>0</v>
      </c>
      <c r="BA170" s="12">
        <f t="shared" si="537"/>
        <v>0</v>
      </c>
      <c r="BB170" s="12">
        <f t="shared" si="538"/>
        <v>0</v>
      </c>
      <c r="BC170" s="12">
        <f t="shared" si="539"/>
        <v>0</v>
      </c>
      <c r="BD170" s="12">
        <f t="shared" si="540"/>
        <v>0</v>
      </c>
      <c r="BE170" s="12">
        <f t="shared" si="541"/>
        <v>0</v>
      </c>
      <c r="BF170" s="12">
        <f t="shared" si="542"/>
        <v>0</v>
      </c>
      <c r="BG170" s="12">
        <f t="shared" si="543"/>
        <v>0</v>
      </c>
      <c r="BH170" s="12">
        <f t="shared" si="544"/>
        <v>0</v>
      </c>
      <c r="BI170" s="12">
        <f t="shared" si="545"/>
        <v>0</v>
      </c>
      <c r="BJ170" s="12">
        <f t="shared" si="546"/>
        <v>0</v>
      </c>
      <c r="BK170" s="12">
        <f t="shared" si="547"/>
        <v>0</v>
      </c>
      <c r="BL170" s="12">
        <f t="shared" si="548"/>
        <v>0</v>
      </c>
      <c r="BM170" s="12">
        <f t="shared" si="549"/>
        <v>0</v>
      </c>
      <c r="BN170" s="12">
        <f t="shared" si="550"/>
        <v>0</v>
      </c>
      <c r="BO170" s="12">
        <f t="shared" si="551"/>
        <v>20</v>
      </c>
      <c r="BP170" s="12">
        <f t="shared" si="552"/>
        <v>0</v>
      </c>
      <c r="BQ170" s="12">
        <f t="shared" si="553"/>
        <v>0</v>
      </c>
      <c r="BR170" s="12">
        <f t="shared" si="554"/>
        <v>0</v>
      </c>
      <c r="BS170" s="12">
        <f t="shared" si="555"/>
        <v>0</v>
      </c>
      <c r="BT170" s="12">
        <f t="shared" si="556"/>
        <v>0</v>
      </c>
      <c r="BU170" s="12">
        <f t="shared" si="557"/>
        <v>0</v>
      </c>
      <c r="BV170" s="12">
        <f t="shared" si="558"/>
        <v>0</v>
      </c>
      <c r="BW170" s="12">
        <f t="shared" si="559"/>
        <v>0</v>
      </c>
      <c r="BX170" s="12">
        <f t="shared" si="560"/>
        <v>0</v>
      </c>
      <c r="BY170" s="12">
        <f t="shared" si="561"/>
        <v>0</v>
      </c>
      <c r="BZ170" s="12">
        <f t="shared" si="562"/>
        <v>0</v>
      </c>
      <c r="CA170" s="12">
        <f t="shared" si="563"/>
        <v>0</v>
      </c>
      <c r="CB170" s="12">
        <f t="shared" si="564"/>
        <v>0</v>
      </c>
      <c r="CC170" s="12">
        <f t="shared" si="565"/>
        <v>0</v>
      </c>
      <c r="CD170" s="12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2"/>
      <c r="CQ170" s="17"/>
      <c r="CR170" s="17"/>
      <c r="CS170" s="17"/>
      <c r="CT170" s="17"/>
      <c r="CU170" s="17"/>
      <c r="CV170" s="12"/>
      <c r="CW170" s="17"/>
      <c r="CX170" s="17"/>
      <c r="CY170" s="17"/>
      <c r="CZ170" s="17"/>
      <c r="DA170" s="17"/>
      <c r="DB170" s="17"/>
      <c r="DC170" s="17"/>
      <c r="DD170" s="17"/>
      <c r="DE170" s="12"/>
      <c r="DF170" s="17"/>
      <c r="DG170" s="17"/>
      <c r="DH170" s="17"/>
      <c r="DI170" s="36">
        <f>(AT170+SUM(AU170:AX170)*2000+SUM(AY170:CC170)-SUM(CD170:DH170))</f>
        <v>20</v>
      </c>
      <c r="DJ170" s="152"/>
      <c r="DK170" s="12">
        <f t="shared" si="477"/>
        <v>0</v>
      </c>
      <c r="DL170" s="12">
        <f>DK170*100</f>
        <v>0</v>
      </c>
      <c r="DM170" s="12">
        <f t="shared" si="478"/>
        <v>0</v>
      </c>
      <c r="DN170" s="12">
        <f>DM170*100</f>
        <v>0</v>
      </c>
      <c r="DO170" s="12">
        <f t="shared" si="479"/>
        <v>0</v>
      </c>
      <c r="DP170" s="12">
        <f>DO170*100</f>
        <v>0</v>
      </c>
      <c r="DQ170" s="12">
        <f t="shared" si="480"/>
        <v>0</v>
      </c>
      <c r="DR170" s="12">
        <f>DQ170*100</f>
        <v>0</v>
      </c>
      <c r="DS170" s="12">
        <f t="shared" si="481"/>
        <v>0</v>
      </c>
      <c r="DT170" s="152"/>
    </row>
    <row r="171" spans="1:124" ht="14.25" customHeight="1">
      <c r="A171" s="12">
        <v>167</v>
      </c>
      <c r="B171" s="19" t="s">
        <v>202</v>
      </c>
      <c r="C171" s="14"/>
      <c r="D171" s="95"/>
      <c r="E171" s="56">
        <v>40</v>
      </c>
      <c r="F171" s="103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>
        <v>10</v>
      </c>
      <c r="R171" s="17"/>
      <c r="S171" s="17"/>
      <c r="T171" s="17"/>
      <c r="U171" s="17"/>
      <c r="V171" s="17"/>
      <c r="W171" s="17"/>
      <c r="X171" s="17"/>
      <c r="Y171" s="17"/>
      <c r="Z171" s="17">
        <v>10</v>
      </c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2">
        <f t="shared" si="380"/>
        <v>20</v>
      </c>
      <c r="AP171" s="17">
        <f t="shared" ref="AP171:AP173" si="626">AO171*50</f>
        <v>1000</v>
      </c>
      <c r="AQ171" s="12">
        <f t="shared" ref="AQ171:AQ191" si="627">AP171+DJ171</f>
        <v>3650</v>
      </c>
      <c r="AR171" s="17"/>
      <c r="AS171" s="126">
        <f t="shared" si="573"/>
        <v>53</v>
      </c>
      <c r="AT171" s="56">
        <v>33</v>
      </c>
      <c r="AU171" s="50"/>
      <c r="AV171" s="12"/>
      <c r="AW171" s="12"/>
      <c r="AX171" s="12"/>
      <c r="AY171" s="12">
        <f t="shared" si="535"/>
        <v>0</v>
      </c>
      <c r="AZ171" s="12">
        <f t="shared" si="536"/>
        <v>0</v>
      </c>
      <c r="BA171" s="12">
        <f t="shared" si="537"/>
        <v>0</v>
      </c>
      <c r="BB171" s="12">
        <f t="shared" si="538"/>
        <v>0</v>
      </c>
      <c r="BC171" s="12">
        <f t="shared" si="539"/>
        <v>0</v>
      </c>
      <c r="BD171" s="12">
        <f t="shared" si="540"/>
        <v>0</v>
      </c>
      <c r="BE171" s="12">
        <f t="shared" si="541"/>
        <v>0</v>
      </c>
      <c r="BF171" s="12">
        <f t="shared" si="542"/>
        <v>10</v>
      </c>
      <c r="BG171" s="12">
        <f t="shared" si="543"/>
        <v>0</v>
      </c>
      <c r="BH171" s="12">
        <f t="shared" si="544"/>
        <v>0</v>
      </c>
      <c r="BI171" s="12">
        <f t="shared" si="545"/>
        <v>0</v>
      </c>
      <c r="BJ171" s="12">
        <f t="shared" si="546"/>
        <v>0</v>
      </c>
      <c r="BK171" s="12">
        <f t="shared" si="547"/>
        <v>0</v>
      </c>
      <c r="BL171" s="12">
        <f t="shared" si="548"/>
        <v>0</v>
      </c>
      <c r="BM171" s="12">
        <f t="shared" si="549"/>
        <v>0</v>
      </c>
      <c r="BN171" s="12">
        <f t="shared" si="550"/>
        <v>0</v>
      </c>
      <c r="BO171" s="12">
        <f t="shared" si="551"/>
        <v>10</v>
      </c>
      <c r="BP171" s="12">
        <f t="shared" si="552"/>
        <v>0</v>
      </c>
      <c r="BQ171" s="12">
        <f t="shared" si="553"/>
        <v>0</v>
      </c>
      <c r="BR171" s="12">
        <f t="shared" si="554"/>
        <v>0</v>
      </c>
      <c r="BS171" s="12">
        <f t="shared" si="555"/>
        <v>0</v>
      </c>
      <c r="BT171" s="12">
        <f t="shared" si="556"/>
        <v>0</v>
      </c>
      <c r="BU171" s="12">
        <f t="shared" si="557"/>
        <v>0</v>
      </c>
      <c r="BV171" s="12">
        <f t="shared" si="558"/>
        <v>0</v>
      </c>
      <c r="BW171" s="12">
        <f t="shared" si="559"/>
        <v>0</v>
      </c>
      <c r="BX171" s="12">
        <f t="shared" si="560"/>
        <v>0</v>
      </c>
      <c r="BY171" s="12">
        <f t="shared" si="561"/>
        <v>0</v>
      </c>
      <c r="BZ171" s="12">
        <f t="shared" si="562"/>
        <v>0</v>
      </c>
      <c r="CA171" s="12">
        <f t="shared" si="563"/>
        <v>0</v>
      </c>
      <c r="CB171" s="12">
        <f t="shared" si="564"/>
        <v>0</v>
      </c>
      <c r="CC171" s="12">
        <f t="shared" si="565"/>
        <v>0</v>
      </c>
      <c r="CD171" s="12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2"/>
      <c r="CQ171" s="17"/>
      <c r="CR171" s="17"/>
      <c r="CS171" s="17"/>
      <c r="CT171" s="17"/>
      <c r="CU171" s="17"/>
      <c r="CV171" s="12"/>
      <c r="CW171" s="17"/>
      <c r="CX171" s="17"/>
      <c r="CY171" s="17"/>
      <c r="CZ171" s="17"/>
      <c r="DA171" s="17"/>
      <c r="DB171" s="17"/>
      <c r="DC171" s="17"/>
      <c r="DD171" s="17"/>
      <c r="DE171" s="12"/>
      <c r="DF171" s="17"/>
      <c r="DG171" s="17"/>
      <c r="DH171" s="17"/>
      <c r="DI171" s="36">
        <f>(AT171+SUM(AU171:AX171)*500+SUM(AY171:CC171)-SUM(CD171:DH171))</f>
        <v>53</v>
      </c>
      <c r="DJ171" s="12">
        <f t="shared" ref="DJ171:DJ173" si="628">DI171*50</f>
        <v>2650</v>
      </c>
      <c r="DK171" s="12">
        <f t="shared" si="477"/>
        <v>0</v>
      </c>
      <c r="DL171" s="12">
        <f t="shared" ref="DL171:DL173" si="629">DK171*50</f>
        <v>0</v>
      </c>
      <c r="DM171" s="12">
        <f t="shared" si="478"/>
        <v>0</v>
      </c>
      <c r="DN171" s="12">
        <f t="shared" ref="DN171:DN173" si="630">DM171*50</f>
        <v>0</v>
      </c>
      <c r="DO171" s="12">
        <f t="shared" si="479"/>
        <v>0</v>
      </c>
      <c r="DP171" s="12">
        <f t="shared" ref="DP171:DP173" si="631">DO171*50</f>
        <v>0</v>
      </c>
      <c r="DQ171" s="12">
        <f t="shared" si="480"/>
        <v>0</v>
      </c>
      <c r="DR171" s="12">
        <f t="shared" ref="DR171:DR173" si="632">DQ171*50</f>
        <v>0</v>
      </c>
      <c r="DS171" s="12">
        <f t="shared" si="481"/>
        <v>0</v>
      </c>
      <c r="DT171" s="12">
        <f t="shared" ref="DT171:DT173" si="633">DS171*50</f>
        <v>0</v>
      </c>
    </row>
    <row r="172" spans="1:124" ht="14.25" customHeight="1">
      <c r="A172" s="12">
        <v>168</v>
      </c>
      <c r="B172" s="19" t="s">
        <v>203</v>
      </c>
      <c r="C172" s="14"/>
      <c r="D172" s="95"/>
      <c r="E172" s="56">
        <v>160</v>
      </c>
      <c r="F172" s="103"/>
      <c r="G172" s="17">
        <v>40</v>
      </c>
      <c r="H172" s="17"/>
      <c r="I172" s="17"/>
      <c r="J172" s="17"/>
      <c r="K172" s="17"/>
      <c r="L172" s="17"/>
      <c r="M172" s="17"/>
      <c r="N172" s="17"/>
      <c r="O172" s="17"/>
      <c r="P172" s="17"/>
      <c r="Q172" s="17">
        <v>40</v>
      </c>
      <c r="R172" s="17"/>
      <c r="S172" s="17"/>
      <c r="T172" s="17"/>
      <c r="U172" s="17"/>
      <c r="V172" s="17"/>
      <c r="W172" s="17"/>
      <c r="X172" s="17"/>
      <c r="Y172" s="17"/>
      <c r="Z172" s="17">
        <v>20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2">
        <f t="shared" si="380"/>
        <v>140</v>
      </c>
      <c r="AP172" s="17">
        <f t="shared" si="626"/>
        <v>7000</v>
      </c>
      <c r="AQ172" s="12">
        <f t="shared" si="627"/>
        <v>12000</v>
      </c>
      <c r="AR172" s="17"/>
      <c r="AS172" s="126">
        <f t="shared" si="573"/>
        <v>100</v>
      </c>
      <c r="AT172" s="56">
        <v>40</v>
      </c>
      <c r="AU172" s="50"/>
      <c r="AV172" s="12"/>
      <c r="AW172" s="12"/>
      <c r="AX172" s="12"/>
      <c r="AY172" s="12">
        <f t="shared" si="535"/>
        <v>0</v>
      </c>
      <c r="AZ172" s="12">
        <f t="shared" si="536"/>
        <v>0</v>
      </c>
      <c r="BA172" s="12">
        <f t="shared" si="537"/>
        <v>0</v>
      </c>
      <c r="BB172" s="12">
        <f t="shared" si="538"/>
        <v>0</v>
      </c>
      <c r="BC172" s="12">
        <f t="shared" si="539"/>
        <v>0</v>
      </c>
      <c r="BD172" s="12">
        <f t="shared" si="540"/>
        <v>0</v>
      </c>
      <c r="BE172" s="12">
        <f t="shared" si="541"/>
        <v>0</v>
      </c>
      <c r="BF172" s="12">
        <f t="shared" si="542"/>
        <v>40</v>
      </c>
      <c r="BG172" s="12">
        <f t="shared" si="543"/>
        <v>0</v>
      </c>
      <c r="BH172" s="12">
        <f t="shared" si="544"/>
        <v>0</v>
      </c>
      <c r="BI172" s="12">
        <f t="shared" si="545"/>
        <v>0</v>
      </c>
      <c r="BJ172" s="12">
        <f t="shared" si="546"/>
        <v>0</v>
      </c>
      <c r="BK172" s="12">
        <f t="shared" si="547"/>
        <v>0</v>
      </c>
      <c r="BL172" s="12">
        <f t="shared" si="548"/>
        <v>0</v>
      </c>
      <c r="BM172" s="12">
        <f t="shared" si="549"/>
        <v>0</v>
      </c>
      <c r="BN172" s="12">
        <f t="shared" si="550"/>
        <v>0</v>
      </c>
      <c r="BO172" s="12">
        <f t="shared" si="551"/>
        <v>20</v>
      </c>
      <c r="BP172" s="12">
        <f t="shared" si="552"/>
        <v>0</v>
      </c>
      <c r="BQ172" s="12">
        <f t="shared" si="553"/>
        <v>0</v>
      </c>
      <c r="BR172" s="12">
        <f t="shared" si="554"/>
        <v>0</v>
      </c>
      <c r="BS172" s="12">
        <f t="shared" si="555"/>
        <v>0</v>
      </c>
      <c r="BT172" s="12">
        <f t="shared" si="556"/>
        <v>0</v>
      </c>
      <c r="BU172" s="12">
        <f t="shared" si="557"/>
        <v>0</v>
      </c>
      <c r="BV172" s="12">
        <f t="shared" si="558"/>
        <v>0</v>
      </c>
      <c r="BW172" s="12">
        <f t="shared" si="559"/>
        <v>0</v>
      </c>
      <c r="BX172" s="12">
        <f t="shared" si="560"/>
        <v>0</v>
      </c>
      <c r="BY172" s="12">
        <f t="shared" si="561"/>
        <v>0</v>
      </c>
      <c r="BZ172" s="12">
        <f t="shared" si="562"/>
        <v>0</v>
      </c>
      <c r="CA172" s="12">
        <f t="shared" si="563"/>
        <v>0</v>
      </c>
      <c r="CB172" s="12">
        <f t="shared" si="564"/>
        <v>0</v>
      </c>
      <c r="CC172" s="12">
        <f t="shared" si="565"/>
        <v>0</v>
      </c>
      <c r="CD172" s="12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2"/>
      <c r="CQ172" s="17"/>
      <c r="CR172" s="17"/>
      <c r="CS172" s="17"/>
      <c r="CT172" s="17"/>
      <c r="CU172" s="17"/>
      <c r="CV172" s="12"/>
      <c r="CW172" s="17"/>
      <c r="CX172" s="17"/>
      <c r="CY172" s="17"/>
      <c r="CZ172" s="17"/>
      <c r="DA172" s="17"/>
      <c r="DB172" s="17"/>
      <c r="DC172" s="17"/>
      <c r="DD172" s="17"/>
      <c r="DE172" s="12"/>
      <c r="DF172" s="17"/>
      <c r="DG172" s="17"/>
      <c r="DH172" s="17"/>
      <c r="DI172" s="36">
        <f>(AT172+SUM(AU172:AX172)*500+SUM(AY172:CC172)-SUM(CD172:DH172))</f>
        <v>100</v>
      </c>
      <c r="DJ172" s="12">
        <f t="shared" si="628"/>
        <v>5000</v>
      </c>
      <c r="DK172" s="12">
        <f t="shared" si="477"/>
        <v>0</v>
      </c>
      <c r="DL172" s="12">
        <f t="shared" si="629"/>
        <v>0</v>
      </c>
      <c r="DM172" s="12">
        <f t="shared" si="478"/>
        <v>0</v>
      </c>
      <c r="DN172" s="12">
        <f t="shared" si="630"/>
        <v>0</v>
      </c>
      <c r="DO172" s="12">
        <f t="shared" si="479"/>
        <v>0</v>
      </c>
      <c r="DP172" s="12">
        <f t="shared" si="631"/>
        <v>0</v>
      </c>
      <c r="DQ172" s="12">
        <f t="shared" si="480"/>
        <v>0</v>
      </c>
      <c r="DR172" s="12">
        <f t="shared" si="632"/>
        <v>0</v>
      </c>
      <c r="DS172" s="12">
        <f t="shared" si="481"/>
        <v>0</v>
      </c>
      <c r="DT172" s="12">
        <f t="shared" si="633"/>
        <v>0</v>
      </c>
    </row>
    <row r="173" spans="1:124" ht="14.25" customHeight="1">
      <c r="A173" s="12">
        <v>169</v>
      </c>
      <c r="B173" s="33" t="s">
        <v>291</v>
      </c>
      <c r="C173" s="14"/>
      <c r="D173" s="95"/>
      <c r="E173" s="56">
        <v>20</v>
      </c>
      <c r="F173" s="103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2">
        <f t="shared" si="380"/>
        <v>20</v>
      </c>
      <c r="AP173" s="17">
        <f t="shared" si="626"/>
        <v>1000</v>
      </c>
      <c r="AQ173" s="12">
        <f t="shared" si="627"/>
        <v>1300</v>
      </c>
      <c r="AR173" s="17"/>
      <c r="AS173" s="126">
        <f t="shared" si="573"/>
        <v>6</v>
      </c>
      <c r="AT173" s="56">
        <v>6</v>
      </c>
      <c r="AU173" s="50"/>
      <c r="AV173" s="12"/>
      <c r="AW173" s="12"/>
      <c r="AX173" s="12"/>
      <c r="AY173" s="12">
        <f t="shared" si="535"/>
        <v>0</v>
      </c>
      <c r="AZ173" s="12">
        <f t="shared" si="536"/>
        <v>0</v>
      </c>
      <c r="BA173" s="12">
        <f t="shared" si="537"/>
        <v>0</v>
      </c>
      <c r="BB173" s="12">
        <f t="shared" si="538"/>
        <v>0</v>
      </c>
      <c r="BC173" s="12">
        <f t="shared" si="539"/>
        <v>0</v>
      </c>
      <c r="BD173" s="12">
        <f t="shared" si="540"/>
        <v>0</v>
      </c>
      <c r="BE173" s="12">
        <f t="shared" si="541"/>
        <v>0</v>
      </c>
      <c r="BF173" s="12">
        <f t="shared" si="542"/>
        <v>0</v>
      </c>
      <c r="BG173" s="12">
        <f t="shared" si="543"/>
        <v>0</v>
      </c>
      <c r="BH173" s="12">
        <f t="shared" si="544"/>
        <v>0</v>
      </c>
      <c r="BI173" s="12">
        <f t="shared" si="545"/>
        <v>0</v>
      </c>
      <c r="BJ173" s="12">
        <f t="shared" si="546"/>
        <v>0</v>
      </c>
      <c r="BK173" s="12">
        <f t="shared" si="547"/>
        <v>0</v>
      </c>
      <c r="BL173" s="12">
        <f t="shared" si="548"/>
        <v>0</v>
      </c>
      <c r="BM173" s="12">
        <f t="shared" si="549"/>
        <v>0</v>
      </c>
      <c r="BN173" s="12">
        <f t="shared" si="550"/>
        <v>0</v>
      </c>
      <c r="BO173" s="12">
        <f t="shared" si="551"/>
        <v>0</v>
      </c>
      <c r="BP173" s="12">
        <f t="shared" si="552"/>
        <v>0</v>
      </c>
      <c r="BQ173" s="12">
        <f t="shared" si="553"/>
        <v>0</v>
      </c>
      <c r="BR173" s="12">
        <f t="shared" si="554"/>
        <v>0</v>
      </c>
      <c r="BS173" s="12">
        <f t="shared" si="555"/>
        <v>0</v>
      </c>
      <c r="BT173" s="12">
        <f t="shared" si="556"/>
        <v>0</v>
      </c>
      <c r="BU173" s="12">
        <f t="shared" si="557"/>
        <v>0</v>
      </c>
      <c r="BV173" s="12">
        <f t="shared" si="558"/>
        <v>0</v>
      </c>
      <c r="BW173" s="12">
        <f t="shared" si="559"/>
        <v>0</v>
      </c>
      <c r="BX173" s="12">
        <f t="shared" si="560"/>
        <v>0</v>
      </c>
      <c r="BY173" s="12">
        <f t="shared" si="561"/>
        <v>0</v>
      </c>
      <c r="BZ173" s="12">
        <f t="shared" si="562"/>
        <v>0</v>
      </c>
      <c r="CA173" s="12">
        <f t="shared" si="563"/>
        <v>0</v>
      </c>
      <c r="CB173" s="12">
        <f t="shared" si="564"/>
        <v>0</v>
      </c>
      <c r="CC173" s="12">
        <f t="shared" si="565"/>
        <v>0</v>
      </c>
      <c r="CD173" s="12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2"/>
      <c r="CQ173" s="17"/>
      <c r="CR173" s="17"/>
      <c r="CS173" s="17"/>
      <c r="CT173" s="17"/>
      <c r="CU173" s="17"/>
      <c r="CV173" s="12"/>
      <c r="CW173" s="17"/>
      <c r="CX173" s="17"/>
      <c r="CY173" s="17"/>
      <c r="CZ173" s="17"/>
      <c r="DA173" s="17"/>
      <c r="DB173" s="17"/>
      <c r="DC173" s="17"/>
      <c r="DD173" s="17"/>
      <c r="DE173" s="12"/>
      <c r="DF173" s="17"/>
      <c r="DG173" s="17"/>
      <c r="DH173" s="17"/>
      <c r="DI173" s="36">
        <f>(AT173+SUM(AU173:AX173)*1000+SUM(AY173:CC173)-SUM(CD173:DH173))</f>
        <v>6</v>
      </c>
      <c r="DJ173" s="12">
        <f t="shared" si="628"/>
        <v>300</v>
      </c>
      <c r="DK173" s="12">
        <f t="shared" si="477"/>
        <v>0</v>
      </c>
      <c r="DL173" s="12">
        <f t="shared" si="629"/>
        <v>0</v>
      </c>
      <c r="DM173" s="12">
        <f t="shared" si="478"/>
        <v>0</v>
      </c>
      <c r="DN173" s="12">
        <f t="shared" si="630"/>
        <v>0</v>
      </c>
      <c r="DO173" s="12">
        <f t="shared" si="479"/>
        <v>0</v>
      </c>
      <c r="DP173" s="12">
        <f t="shared" si="631"/>
        <v>0</v>
      </c>
      <c r="DQ173" s="12">
        <f t="shared" si="480"/>
        <v>0</v>
      </c>
      <c r="DR173" s="12">
        <f t="shared" si="632"/>
        <v>0</v>
      </c>
      <c r="DS173" s="12">
        <f t="shared" si="481"/>
        <v>0</v>
      </c>
      <c r="DT173" s="12">
        <f t="shared" si="633"/>
        <v>0</v>
      </c>
    </row>
    <row r="174" spans="1:124" ht="14.25" customHeight="1">
      <c r="A174" s="30">
        <v>170</v>
      </c>
      <c r="B174" s="68" t="s">
        <v>364</v>
      </c>
      <c r="C174" s="15" t="s">
        <v>32</v>
      </c>
      <c r="D174" s="102" t="s">
        <v>55</v>
      </c>
      <c r="E174" s="56">
        <v>0</v>
      </c>
      <c r="F174" s="103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2">
        <f>(E174+F174+G174+H174+I174-J174-K174-L174-M174-N174-O174-P174-Q174-R174-S174-T174-U174-V174-W174-X174-Y174-Z174-AA174-AB174-AC174-AD174-AE174-AF174-AG174-AH174-AI174-AJ174-AK174-AL174-AM174-AN174)</f>
        <v>0</v>
      </c>
      <c r="AP174" s="17">
        <f>AO174*72</f>
        <v>0</v>
      </c>
      <c r="AQ174" s="12">
        <f t="shared" si="627"/>
        <v>144</v>
      </c>
      <c r="AR174" s="58" t="s">
        <v>362</v>
      </c>
      <c r="AS174" s="126">
        <f t="shared" si="573"/>
        <v>12</v>
      </c>
      <c r="AT174" s="56">
        <v>12</v>
      </c>
      <c r="AU174" s="50"/>
      <c r="AV174" s="12"/>
      <c r="AW174" s="12"/>
      <c r="AX174" s="12"/>
      <c r="AY174" s="12">
        <f t="shared" si="535"/>
        <v>0</v>
      </c>
      <c r="AZ174" s="12">
        <f t="shared" si="536"/>
        <v>0</v>
      </c>
      <c r="BA174" s="12">
        <f t="shared" si="537"/>
        <v>0</v>
      </c>
      <c r="BB174" s="12">
        <f t="shared" si="538"/>
        <v>0</v>
      </c>
      <c r="BC174" s="12">
        <f t="shared" si="539"/>
        <v>0</v>
      </c>
      <c r="BD174" s="12">
        <f t="shared" si="540"/>
        <v>0</v>
      </c>
      <c r="BE174" s="12">
        <f t="shared" si="541"/>
        <v>0</v>
      </c>
      <c r="BF174" s="12">
        <f t="shared" si="542"/>
        <v>0</v>
      </c>
      <c r="BG174" s="12">
        <f t="shared" si="543"/>
        <v>0</v>
      </c>
      <c r="BH174" s="12">
        <f t="shared" si="544"/>
        <v>0</v>
      </c>
      <c r="BI174" s="12">
        <f t="shared" si="545"/>
        <v>0</v>
      </c>
      <c r="BJ174" s="12">
        <f t="shared" si="546"/>
        <v>0</v>
      </c>
      <c r="BK174" s="12">
        <f t="shared" si="547"/>
        <v>0</v>
      </c>
      <c r="BL174" s="12">
        <f t="shared" si="548"/>
        <v>0</v>
      </c>
      <c r="BM174" s="12">
        <f t="shared" si="549"/>
        <v>0</v>
      </c>
      <c r="BN174" s="12">
        <f t="shared" si="550"/>
        <v>0</v>
      </c>
      <c r="BO174" s="12">
        <f t="shared" si="551"/>
        <v>0</v>
      </c>
      <c r="BP174" s="12">
        <f t="shared" si="552"/>
        <v>0</v>
      </c>
      <c r="BQ174" s="12">
        <f t="shared" si="553"/>
        <v>0</v>
      </c>
      <c r="BR174" s="12">
        <f t="shared" si="554"/>
        <v>0</v>
      </c>
      <c r="BS174" s="12">
        <f t="shared" si="555"/>
        <v>0</v>
      </c>
      <c r="BT174" s="12">
        <f t="shared" si="556"/>
        <v>0</v>
      </c>
      <c r="BU174" s="12">
        <f t="shared" si="557"/>
        <v>0</v>
      </c>
      <c r="BV174" s="12">
        <f t="shared" si="558"/>
        <v>0</v>
      </c>
      <c r="BW174" s="12">
        <f t="shared" si="559"/>
        <v>0</v>
      </c>
      <c r="BX174" s="12">
        <f t="shared" si="560"/>
        <v>0</v>
      </c>
      <c r="BY174" s="12">
        <f t="shared" si="561"/>
        <v>0</v>
      </c>
      <c r="BZ174" s="12">
        <f t="shared" si="562"/>
        <v>0</v>
      </c>
      <c r="CA174" s="12">
        <f t="shared" si="563"/>
        <v>0</v>
      </c>
      <c r="CB174" s="12">
        <f t="shared" si="564"/>
        <v>0</v>
      </c>
      <c r="CC174" s="12">
        <f t="shared" si="565"/>
        <v>0</v>
      </c>
      <c r="CD174" s="12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2"/>
      <c r="CQ174" s="17"/>
      <c r="CR174" s="17"/>
      <c r="CS174" s="17"/>
      <c r="CT174" s="17"/>
      <c r="CU174" s="17"/>
      <c r="CV174" s="12"/>
      <c r="CW174" s="17"/>
      <c r="CX174" s="17"/>
      <c r="CY174" s="17"/>
      <c r="CZ174" s="17"/>
      <c r="DA174" s="17"/>
      <c r="DB174" s="17"/>
      <c r="DC174" s="17"/>
      <c r="DD174" s="17"/>
      <c r="DE174" s="12"/>
      <c r="DF174" s="17"/>
      <c r="DG174" s="17"/>
      <c r="DH174" s="17"/>
      <c r="DI174" s="36">
        <f>(AT174+SUM(AU174:AX174)*6+SUM(AY174:CC174)-SUM(CD174:DH174))</f>
        <v>12</v>
      </c>
      <c r="DJ174" s="12">
        <f>DI174*12</f>
        <v>144</v>
      </c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</row>
    <row r="175" spans="1:124" ht="14.25" customHeight="1">
      <c r="A175" s="12">
        <v>171</v>
      </c>
      <c r="B175" s="26" t="s">
        <v>204</v>
      </c>
      <c r="C175" s="14"/>
      <c r="D175" s="100" t="s">
        <v>105</v>
      </c>
      <c r="E175" s="56">
        <v>1</v>
      </c>
      <c r="F175" s="103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2">
        <f t="shared" si="380"/>
        <v>1</v>
      </c>
      <c r="AP175" s="17">
        <f t="shared" ref="AP175:AP177" si="634">AO175</f>
        <v>1</v>
      </c>
      <c r="AQ175" s="12">
        <f t="shared" si="627"/>
        <v>1</v>
      </c>
      <c r="AR175" s="66"/>
      <c r="AS175" s="126">
        <f t="shared" si="573"/>
        <v>0</v>
      </c>
      <c r="AT175" s="56">
        <v>0</v>
      </c>
      <c r="AU175" s="50"/>
      <c r="AV175" s="12"/>
      <c r="AW175" s="12"/>
      <c r="AX175" s="12"/>
      <c r="AY175" s="12">
        <f t="shared" si="535"/>
        <v>0</v>
      </c>
      <c r="AZ175" s="12">
        <f t="shared" si="536"/>
        <v>0</v>
      </c>
      <c r="BA175" s="12">
        <f t="shared" si="537"/>
        <v>0</v>
      </c>
      <c r="BB175" s="12">
        <f t="shared" si="538"/>
        <v>0</v>
      </c>
      <c r="BC175" s="12">
        <f t="shared" si="539"/>
        <v>0</v>
      </c>
      <c r="BD175" s="12">
        <f t="shared" si="540"/>
        <v>0</v>
      </c>
      <c r="BE175" s="12">
        <f t="shared" si="541"/>
        <v>0</v>
      </c>
      <c r="BF175" s="12">
        <f t="shared" si="542"/>
        <v>0</v>
      </c>
      <c r="BG175" s="12">
        <f t="shared" si="543"/>
        <v>0</v>
      </c>
      <c r="BH175" s="12">
        <f t="shared" si="544"/>
        <v>0</v>
      </c>
      <c r="BI175" s="12">
        <f t="shared" si="545"/>
        <v>0</v>
      </c>
      <c r="BJ175" s="12">
        <f t="shared" si="546"/>
        <v>0</v>
      </c>
      <c r="BK175" s="12">
        <f t="shared" si="547"/>
        <v>0</v>
      </c>
      <c r="BL175" s="12">
        <f t="shared" si="548"/>
        <v>0</v>
      </c>
      <c r="BM175" s="12">
        <f t="shared" si="549"/>
        <v>0</v>
      </c>
      <c r="BN175" s="12">
        <f t="shared" si="550"/>
        <v>0</v>
      </c>
      <c r="BO175" s="12">
        <f t="shared" si="551"/>
        <v>0</v>
      </c>
      <c r="BP175" s="12">
        <f t="shared" si="552"/>
        <v>0</v>
      </c>
      <c r="BQ175" s="12">
        <f t="shared" si="553"/>
        <v>0</v>
      </c>
      <c r="BR175" s="12">
        <f t="shared" si="554"/>
        <v>0</v>
      </c>
      <c r="BS175" s="12">
        <f t="shared" si="555"/>
        <v>0</v>
      </c>
      <c r="BT175" s="12">
        <f t="shared" si="556"/>
        <v>0</v>
      </c>
      <c r="BU175" s="12">
        <f t="shared" si="557"/>
        <v>0</v>
      </c>
      <c r="BV175" s="12">
        <f t="shared" si="558"/>
        <v>0</v>
      </c>
      <c r="BW175" s="12">
        <f t="shared" si="559"/>
        <v>0</v>
      </c>
      <c r="BX175" s="12">
        <f t="shared" si="560"/>
        <v>0</v>
      </c>
      <c r="BY175" s="12">
        <f t="shared" si="561"/>
        <v>0</v>
      </c>
      <c r="BZ175" s="12">
        <f t="shared" si="562"/>
        <v>0</v>
      </c>
      <c r="CA175" s="12">
        <f t="shared" si="563"/>
        <v>0</v>
      </c>
      <c r="CB175" s="12">
        <f t="shared" si="564"/>
        <v>0</v>
      </c>
      <c r="CC175" s="12">
        <f t="shared" si="565"/>
        <v>0</v>
      </c>
      <c r="CD175" s="12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2"/>
      <c r="CQ175" s="17"/>
      <c r="CR175" s="17"/>
      <c r="CS175" s="17"/>
      <c r="CT175" s="17"/>
      <c r="CU175" s="17"/>
      <c r="CV175" s="12"/>
      <c r="CW175" s="17"/>
      <c r="CX175" s="17"/>
      <c r="CY175" s="17"/>
      <c r="CZ175" s="17"/>
      <c r="DA175" s="17"/>
      <c r="DB175" s="17"/>
      <c r="DC175" s="17"/>
      <c r="DD175" s="17"/>
      <c r="DE175" s="12"/>
      <c r="DF175" s="17"/>
      <c r="DG175" s="17"/>
      <c r="DH175" s="17"/>
      <c r="DI175" s="36">
        <f>(AT175+SUM(AU175:AX175)+SUM(AY175:CC175)-SUM(CD175:DH175))</f>
        <v>0</v>
      </c>
      <c r="DJ175" s="12">
        <f t="shared" ref="DJ175:DJ177" si="635">DI175</f>
        <v>0</v>
      </c>
      <c r="DK175" s="12">
        <f t="shared" ref="DK175:DK178" si="636">SUM(CD175:CJ175)</f>
        <v>0</v>
      </c>
      <c r="DL175" s="12">
        <f t="shared" ref="DL175:DL178" si="637">DK175</f>
        <v>0</v>
      </c>
      <c r="DM175" s="12">
        <f t="shared" ref="DM175:DM178" si="638">SUM(CK175:CQ175)</f>
        <v>0</v>
      </c>
      <c r="DN175" s="12">
        <f t="shared" ref="DN175:DN178" si="639">DM175</f>
        <v>0</v>
      </c>
      <c r="DO175" s="12">
        <f t="shared" ref="DO175:DO178" si="640">SUM(CR175:CX175)</f>
        <v>0</v>
      </c>
      <c r="DP175" s="12">
        <f t="shared" ref="DP175:DP178" si="641">DO175</f>
        <v>0</v>
      </c>
      <c r="DQ175" s="12">
        <f t="shared" ref="DQ175:DQ178" si="642">SUM(CY175:DH175)</f>
        <v>0</v>
      </c>
      <c r="DR175" s="12">
        <f t="shared" ref="DR175:DR178" si="643">DQ175</f>
        <v>0</v>
      </c>
      <c r="DS175" s="12">
        <f t="shared" ref="DS175:DS178" si="644">DK175+DM175+DO175+DQ175</f>
        <v>0</v>
      </c>
      <c r="DT175" s="12">
        <f t="shared" ref="DT175:DT178" si="645">DS175</f>
        <v>0</v>
      </c>
    </row>
    <row r="176" spans="1:124" ht="14.25" customHeight="1">
      <c r="A176" s="12">
        <v>172</v>
      </c>
      <c r="B176" s="19" t="s">
        <v>205</v>
      </c>
      <c r="C176" s="14"/>
      <c r="D176" s="95"/>
      <c r="E176" s="56">
        <v>0</v>
      </c>
      <c r="F176" s="103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2">
        <f t="shared" si="380"/>
        <v>0</v>
      </c>
      <c r="AP176" s="17">
        <f t="shared" si="634"/>
        <v>0</v>
      </c>
      <c r="AQ176" s="12">
        <f t="shared" si="627"/>
        <v>11</v>
      </c>
      <c r="AR176" s="17"/>
      <c r="AS176" s="126">
        <f t="shared" si="573"/>
        <v>11</v>
      </c>
      <c r="AT176" s="56">
        <v>11</v>
      </c>
      <c r="AU176" s="50"/>
      <c r="AV176" s="12"/>
      <c r="AW176" s="12"/>
      <c r="AX176" s="12"/>
      <c r="AY176" s="12">
        <f t="shared" si="535"/>
        <v>0</v>
      </c>
      <c r="AZ176" s="12">
        <f t="shared" si="536"/>
        <v>0</v>
      </c>
      <c r="BA176" s="12">
        <f t="shared" si="537"/>
        <v>0</v>
      </c>
      <c r="BB176" s="12">
        <f t="shared" si="538"/>
        <v>0</v>
      </c>
      <c r="BC176" s="12">
        <f t="shared" si="539"/>
        <v>0</v>
      </c>
      <c r="BD176" s="12">
        <f t="shared" si="540"/>
        <v>0</v>
      </c>
      <c r="BE176" s="12">
        <f t="shared" si="541"/>
        <v>0</v>
      </c>
      <c r="BF176" s="12">
        <f t="shared" si="542"/>
        <v>0</v>
      </c>
      <c r="BG176" s="12">
        <f t="shared" si="543"/>
        <v>0</v>
      </c>
      <c r="BH176" s="12">
        <f t="shared" si="544"/>
        <v>0</v>
      </c>
      <c r="BI176" s="12">
        <f t="shared" si="545"/>
        <v>0</v>
      </c>
      <c r="BJ176" s="12">
        <f t="shared" si="546"/>
        <v>0</v>
      </c>
      <c r="BK176" s="12">
        <f t="shared" si="547"/>
        <v>0</v>
      </c>
      <c r="BL176" s="12">
        <f t="shared" si="548"/>
        <v>0</v>
      </c>
      <c r="BM176" s="12">
        <f t="shared" si="549"/>
        <v>0</v>
      </c>
      <c r="BN176" s="12">
        <f t="shared" si="550"/>
        <v>0</v>
      </c>
      <c r="BO176" s="12">
        <f t="shared" si="551"/>
        <v>0</v>
      </c>
      <c r="BP176" s="12">
        <f t="shared" si="552"/>
        <v>0</v>
      </c>
      <c r="BQ176" s="12">
        <f t="shared" si="553"/>
        <v>0</v>
      </c>
      <c r="BR176" s="12">
        <f t="shared" si="554"/>
        <v>0</v>
      </c>
      <c r="BS176" s="12">
        <f t="shared" si="555"/>
        <v>0</v>
      </c>
      <c r="BT176" s="12">
        <f t="shared" si="556"/>
        <v>0</v>
      </c>
      <c r="BU176" s="12">
        <f t="shared" si="557"/>
        <v>0</v>
      </c>
      <c r="BV176" s="12">
        <f t="shared" si="558"/>
        <v>0</v>
      </c>
      <c r="BW176" s="12">
        <f t="shared" si="559"/>
        <v>0</v>
      </c>
      <c r="BX176" s="12">
        <f t="shared" si="560"/>
        <v>0</v>
      </c>
      <c r="BY176" s="12">
        <f t="shared" si="561"/>
        <v>0</v>
      </c>
      <c r="BZ176" s="12">
        <f t="shared" si="562"/>
        <v>0</v>
      </c>
      <c r="CA176" s="12">
        <f t="shared" si="563"/>
        <v>0</v>
      </c>
      <c r="CB176" s="12">
        <f t="shared" si="564"/>
        <v>0</v>
      </c>
      <c r="CC176" s="12">
        <f t="shared" si="565"/>
        <v>0</v>
      </c>
      <c r="CD176" s="12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2"/>
      <c r="CQ176" s="17"/>
      <c r="CR176" s="17"/>
      <c r="CS176" s="17"/>
      <c r="CT176" s="17"/>
      <c r="CU176" s="17"/>
      <c r="CV176" s="12"/>
      <c r="CW176" s="17"/>
      <c r="CX176" s="17"/>
      <c r="CY176" s="17"/>
      <c r="CZ176" s="17"/>
      <c r="DA176" s="17"/>
      <c r="DB176" s="17"/>
      <c r="DC176" s="17"/>
      <c r="DD176" s="17"/>
      <c r="DE176" s="12"/>
      <c r="DF176" s="17"/>
      <c r="DG176" s="17"/>
      <c r="DH176" s="17"/>
      <c r="DI176" s="36">
        <f>(AT176+SUM(AU176:AX176)+SUM(AY176:CC176)-SUM(CD176:DH176))</f>
        <v>11</v>
      </c>
      <c r="DJ176" s="12">
        <f t="shared" si="635"/>
        <v>11</v>
      </c>
      <c r="DK176" s="12">
        <f t="shared" si="636"/>
        <v>0</v>
      </c>
      <c r="DL176" s="12">
        <f t="shared" si="637"/>
        <v>0</v>
      </c>
      <c r="DM176" s="12">
        <f t="shared" si="638"/>
        <v>0</v>
      </c>
      <c r="DN176" s="12">
        <f t="shared" si="639"/>
        <v>0</v>
      </c>
      <c r="DO176" s="12">
        <f t="shared" si="640"/>
        <v>0</v>
      </c>
      <c r="DP176" s="12">
        <f t="shared" si="641"/>
        <v>0</v>
      </c>
      <c r="DQ176" s="12">
        <f t="shared" si="642"/>
        <v>0</v>
      </c>
      <c r="DR176" s="12">
        <f t="shared" si="643"/>
        <v>0</v>
      </c>
      <c r="DS176" s="12">
        <f t="shared" si="644"/>
        <v>0</v>
      </c>
      <c r="DT176" s="12">
        <f t="shared" si="645"/>
        <v>0</v>
      </c>
    </row>
    <row r="177" spans="1:124" ht="14.25" customHeight="1">
      <c r="A177" s="12">
        <v>173</v>
      </c>
      <c r="B177" s="26" t="s">
        <v>206</v>
      </c>
      <c r="C177" s="14"/>
      <c r="D177" s="100" t="s">
        <v>105</v>
      </c>
      <c r="E177" s="56">
        <v>0</v>
      </c>
      <c r="F177" s="103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2">
        <f t="shared" si="380"/>
        <v>0</v>
      </c>
      <c r="AP177" s="17">
        <f t="shared" si="634"/>
        <v>0</v>
      </c>
      <c r="AQ177" s="12">
        <f t="shared" si="627"/>
        <v>0</v>
      </c>
      <c r="AR177" s="17"/>
      <c r="AS177" s="126">
        <f t="shared" si="573"/>
        <v>0</v>
      </c>
      <c r="AT177" s="56">
        <v>0</v>
      </c>
      <c r="AU177" s="50"/>
      <c r="AV177" s="12"/>
      <c r="AW177" s="12"/>
      <c r="AX177" s="12"/>
      <c r="AY177" s="12">
        <f t="shared" si="535"/>
        <v>0</v>
      </c>
      <c r="AZ177" s="12">
        <f t="shared" si="536"/>
        <v>0</v>
      </c>
      <c r="BA177" s="12">
        <f t="shared" si="537"/>
        <v>0</v>
      </c>
      <c r="BB177" s="12">
        <f t="shared" si="538"/>
        <v>0</v>
      </c>
      <c r="BC177" s="12">
        <f t="shared" si="539"/>
        <v>0</v>
      </c>
      <c r="BD177" s="12">
        <f t="shared" si="540"/>
        <v>0</v>
      </c>
      <c r="BE177" s="12">
        <f t="shared" si="541"/>
        <v>0</v>
      </c>
      <c r="BF177" s="12">
        <f t="shared" si="542"/>
        <v>0</v>
      </c>
      <c r="BG177" s="12">
        <f t="shared" si="543"/>
        <v>0</v>
      </c>
      <c r="BH177" s="12">
        <f t="shared" si="544"/>
        <v>0</v>
      </c>
      <c r="BI177" s="12">
        <f t="shared" si="545"/>
        <v>0</v>
      </c>
      <c r="BJ177" s="12">
        <f t="shared" si="546"/>
        <v>0</v>
      </c>
      <c r="BK177" s="12">
        <f t="shared" si="547"/>
        <v>0</v>
      </c>
      <c r="BL177" s="12">
        <f t="shared" si="548"/>
        <v>0</v>
      </c>
      <c r="BM177" s="12">
        <f t="shared" si="549"/>
        <v>0</v>
      </c>
      <c r="BN177" s="12">
        <f t="shared" si="550"/>
        <v>0</v>
      </c>
      <c r="BO177" s="12">
        <f t="shared" si="551"/>
        <v>0</v>
      </c>
      <c r="BP177" s="12">
        <f t="shared" si="552"/>
        <v>0</v>
      </c>
      <c r="BQ177" s="12">
        <f t="shared" si="553"/>
        <v>0</v>
      </c>
      <c r="BR177" s="12">
        <f t="shared" si="554"/>
        <v>0</v>
      </c>
      <c r="BS177" s="12">
        <f t="shared" si="555"/>
        <v>0</v>
      </c>
      <c r="BT177" s="12">
        <f t="shared" si="556"/>
        <v>0</v>
      </c>
      <c r="BU177" s="12">
        <f t="shared" si="557"/>
        <v>0</v>
      </c>
      <c r="BV177" s="12">
        <f t="shared" si="558"/>
        <v>0</v>
      </c>
      <c r="BW177" s="12">
        <f t="shared" si="559"/>
        <v>0</v>
      </c>
      <c r="BX177" s="12">
        <f t="shared" si="560"/>
        <v>0</v>
      </c>
      <c r="BY177" s="12">
        <f t="shared" si="561"/>
        <v>0</v>
      </c>
      <c r="BZ177" s="12">
        <f t="shared" si="562"/>
        <v>0</v>
      </c>
      <c r="CA177" s="12">
        <f t="shared" si="563"/>
        <v>0</v>
      </c>
      <c r="CB177" s="12">
        <f t="shared" si="564"/>
        <v>0</v>
      </c>
      <c r="CC177" s="12">
        <f t="shared" si="565"/>
        <v>0</v>
      </c>
      <c r="CD177" s="12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2"/>
      <c r="CQ177" s="17"/>
      <c r="CR177" s="17"/>
      <c r="CS177" s="17"/>
      <c r="CT177" s="17"/>
      <c r="CU177" s="17"/>
      <c r="CV177" s="12"/>
      <c r="CW177" s="17"/>
      <c r="CX177" s="17"/>
      <c r="CY177" s="17"/>
      <c r="CZ177" s="17"/>
      <c r="DA177" s="17"/>
      <c r="DB177" s="17"/>
      <c r="DC177" s="17"/>
      <c r="DD177" s="17"/>
      <c r="DE177" s="12"/>
      <c r="DF177" s="17"/>
      <c r="DG177" s="17"/>
      <c r="DH177" s="17"/>
      <c r="DI177" s="36">
        <f>(AT177+SUM(AU177:AX177)+SUM(AY177:CC177)-SUM(CD177:DH177))</f>
        <v>0</v>
      </c>
      <c r="DJ177" s="12">
        <f t="shared" si="635"/>
        <v>0</v>
      </c>
      <c r="DK177" s="12">
        <f t="shared" si="636"/>
        <v>0</v>
      </c>
      <c r="DL177" s="12">
        <f t="shared" si="637"/>
        <v>0</v>
      </c>
      <c r="DM177" s="12">
        <f t="shared" si="638"/>
        <v>0</v>
      </c>
      <c r="DN177" s="12">
        <f t="shared" si="639"/>
        <v>0</v>
      </c>
      <c r="DO177" s="12">
        <f t="shared" si="640"/>
        <v>0</v>
      </c>
      <c r="DP177" s="12">
        <f t="shared" si="641"/>
        <v>0</v>
      </c>
      <c r="DQ177" s="12">
        <f t="shared" si="642"/>
        <v>0</v>
      </c>
      <c r="DR177" s="12">
        <f t="shared" si="643"/>
        <v>0</v>
      </c>
      <c r="DS177" s="12">
        <f t="shared" si="644"/>
        <v>0</v>
      </c>
      <c r="DT177" s="12">
        <f t="shared" si="645"/>
        <v>0</v>
      </c>
    </row>
    <row r="178" spans="1:124" ht="14.25" customHeight="1">
      <c r="A178" s="30">
        <v>174</v>
      </c>
      <c r="B178" s="92" t="s">
        <v>360</v>
      </c>
      <c r="C178" s="15" t="s">
        <v>32</v>
      </c>
      <c r="D178" s="95"/>
      <c r="E178" s="56">
        <v>0</v>
      </c>
      <c r="F178" s="103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2">
        <f t="shared" si="380"/>
        <v>0</v>
      </c>
      <c r="AP178" s="17"/>
      <c r="AQ178" s="12">
        <f t="shared" si="627"/>
        <v>7000</v>
      </c>
      <c r="AR178" s="58"/>
      <c r="AS178" s="126">
        <f t="shared" si="573"/>
        <v>7</v>
      </c>
      <c r="AT178" s="56">
        <v>3</v>
      </c>
      <c r="AU178" s="50">
        <v>1</v>
      </c>
      <c r="AV178" s="12"/>
      <c r="AW178" s="12"/>
      <c r="AX178" s="12"/>
      <c r="AY178" s="12">
        <f t="shared" si="535"/>
        <v>0</v>
      </c>
      <c r="AZ178" s="12">
        <f t="shared" si="536"/>
        <v>0</v>
      </c>
      <c r="BA178" s="12">
        <f t="shared" si="537"/>
        <v>0</v>
      </c>
      <c r="BB178" s="12">
        <f t="shared" si="538"/>
        <v>0</v>
      </c>
      <c r="BC178" s="12">
        <f t="shared" si="539"/>
        <v>0</v>
      </c>
      <c r="BD178" s="12">
        <f t="shared" si="540"/>
        <v>0</v>
      </c>
      <c r="BE178" s="12">
        <f t="shared" si="541"/>
        <v>0</v>
      </c>
      <c r="BF178" s="12">
        <f t="shared" si="542"/>
        <v>0</v>
      </c>
      <c r="BG178" s="12">
        <f t="shared" si="543"/>
        <v>0</v>
      </c>
      <c r="BH178" s="12">
        <f t="shared" si="544"/>
        <v>0</v>
      </c>
      <c r="BI178" s="12">
        <f t="shared" si="545"/>
        <v>0</v>
      </c>
      <c r="BJ178" s="12">
        <f t="shared" si="546"/>
        <v>0</v>
      </c>
      <c r="BK178" s="12">
        <f t="shared" si="547"/>
        <v>0</v>
      </c>
      <c r="BL178" s="12">
        <f t="shared" si="548"/>
        <v>0</v>
      </c>
      <c r="BM178" s="12">
        <f t="shared" si="549"/>
        <v>0</v>
      </c>
      <c r="BN178" s="12">
        <f t="shared" si="550"/>
        <v>0</v>
      </c>
      <c r="BO178" s="12">
        <f t="shared" si="551"/>
        <v>0</v>
      </c>
      <c r="BP178" s="12">
        <f t="shared" si="552"/>
        <v>0</v>
      </c>
      <c r="BQ178" s="12">
        <f t="shared" si="553"/>
        <v>0</v>
      </c>
      <c r="BR178" s="12">
        <f t="shared" si="554"/>
        <v>0</v>
      </c>
      <c r="BS178" s="12">
        <f t="shared" si="555"/>
        <v>0</v>
      </c>
      <c r="BT178" s="12">
        <f t="shared" si="556"/>
        <v>0</v>
      </c>
      <c r="BU178" s="12">
        <f t="shared" si="557"/>
        <v>0</v>
      </c>
      <c r="BV178" s="12">
        <f t="shared" si="558"/>
        <v>0</v>
      </c>
      <c r="BW178" s="12">
        <f t="shared" si="559"/>
        <v>0</v>
      </c>
      <c r="BX178" s="12">
        <f t="shared" si="560"/>
        <v>0</v>
      </c>
      <c r="BY178" s="12">
        <f t="shared" si="561"/>
        <v>0</v>
      </c>
      <c r="BZ178" s="12">
        <f t="shared" si="562"/>
        <v>0</v>
      </c>
      <c r="CA178" s="12">
        <f t="shared" si="563"/>
        <v>0</v>
      </c>
      <c r="CB178" s="12">
        <f t="shared" si="564"/>
        <v>0</v>
      </c>
      <c r="CC178" s="12">
        <f t="shared" si="565"/>
        <v>0</v>
      </c>
      <c r="CD178" s="12">
        <v>1</v>
      </c>
      <c r="CE178" s="17"/>
      <c r="CF178" s="17"/>
      <c r="CG178" s="17"/>
      <c r="CH178" s="17">
        <v>1</v>
      </c>
      <c r="CI178" s="17"/>
      <c r="CJ178" s="17"/>
      <c r="CK178" s="17"/>
      <c r="CL178" s="17"/>
      <c r="CM178" s="17"/>
      <c r="CN178" s="17">
        <v>1</v>
      </c>
      <c r="CO178" s="17"/>
      <c r="CP178" s="12"/>
      <c r="CQ178" s="17"/>
      <c r="CR178" s="17"/>
      <c r="CS178" s="17"/>
      <c r="CT178" s="17">
        <v>1</v>
      </c>
      <c r="CU178" s="17"/>
      <c r="CV178" s="12"/>
      <c r="CW178" s="17"/>
      <c r="CX178" s="17"/>
      <c r="CY178" s="17"/>
      <c r="CZ178" s="17"/>
      <c r="DA178" s="17"/>
      <c r="DB178" s="17"/>
      <c r="DC178" s="17"/>
      <c r="DD178" s="17"/>
      <c r="DE178" s="12"/>
      <c r="DF178" s="17"/>
      <c r="DG178" s="17"/>
      <c r="DH178" s="17"/>
      <c r="DI178" s="36">
        <f>(AT178+SUM(AU178:AX178)*8+SUM(AY178:CC178)-SUM(CD178:DH178))</f>
        <v>7</v>
      </c>
      <c r="DJ178" s="12">
        <f>DI178*1000</f>
        <v>7000</v>
      </c>
      <c r="DK178" s="12">
        <f t="shared" si="636"/>
        <v>2</v>
      </c>
      <c r="DL178" s="12">
        <f t="shared" si="637"/>
        <v>2</v>
      </c>
      <c r="DM178" s="12">
        <f t="shared" si="638"/>
        <v>1</v>
      </c>
      <c r="DN178" s="12">
        <f t="shared" si="639"/>
        <v>1</v>
      </c>
      <c r="DO178" s="12">
        <f t="shared" si="640"/>
        <v>1</v>
      </c>
      <c r="DP178" s="12">
        <f t="shared" si="641"/>
        <v>1</v>
      </c>
      <c r="DQ178" s="12">
        <f t="shared" si="642"/>
        <v>0</v>
      </c>
      <c r="DR178" s="12">
        <f t="shared" si="643"/>
        <v>0</v>
      </c>
      <c r="DS178" s="12">
        <f t="shared" si="644"/>
        <v>4</v>
      </c>
      <c r="DT178" s="12">
        <f t="shared" si="645"/>
        <v>4</v>
      </c>
    </row>
    <row r="179" spans="1:124" ht="14.25" customHeight="1">
      <c r="A179" s="12">
        <v>175</v>
      </c>
      <c r="B179" s="26" t="s">
        <v>207</v>
      </c>
      <c r="C179" s="14"/>
      <c r="D179" s="100" t="s">
        <v>105</v>
      </c>
      <c r="E179" s="56">
        <v>1</v>
      </c>
      <c r="F179" s="103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2">
        <f t="shared" si="380"/>
        <v>1</v>
      </c>
      <c r="AP179" s="17">
        <f>AO179*1000</f>
        <v>1000</v>
      </c>
      <c r="AQ179" s="12">
        <f t="shared" si="627"/>
        <v>1000</v>
      </c>
      <c r="AR179" s="17"/>
      <c r="AS179" s="126">
        <f t="shared" si="573"/>
        <v>0</v>
      </c>
      <c r="AT179" s="56">
        <v>0</v>
      </c>
      <c r="AU179" s="50"/>
      <c r="AV179" s="12"/>
      <c r="AW179" s="12"/>
      <c r="AX179" s="12"/>
      <c r="AY179" s="12">
        <f t="shared" ref="AY179:AY191" si="646">J179</f>
        <v>0</v>
      </c>
      <c r="AZ179" s="12">
        <f t="shared" ref="AZ179:AZ191" si="647">K179</f>
        <v>0</v>
      </c>
      <c r="BA179" s="12">
        <f t="shared" ref="BA179:BA191" si="648">L179</f>
        <v>0</v>
      </c>
      <c r="BB179" s="12">
        <f t="shared" ref="BB179:BB191" si="649">M179</f>
        <v>0</v>
      </c>
      <c r="BC179" s="12">
        <f t="shared" ref="BC179:BC191" si="650">N179</f>
        <v>0</v>
      </c>
      <c r="BD179" s="12">
        <f t="shared" ref="BD179:BD191" si="651">O179</f>
        <v>0</v>
      </c>
      <c r="BE179" s="12">
        <f t="shared" ref="BE179:BE191" si="652">P179</f>
        <v>0</v>
      </c>
      <c r="BF179" s="12">
        <f t="shared" ref="BF179:BF191" si="653">Q179</f>
        <v>0</v>
      </c>
      <c r="BG179" s="12">
        <f t="shared" ref="BG179:BG191" si="654">R179</f>
        <v>0</v>
      </c>
      <c r="BH179" s="12">
        <f t="shared" ref="BH179:BH191" si="655">S179</f>
        <v>0</v>
      </c>
      <c r="BI179" s="12">
        <f t="shared" ref="BI179:BI191" si="656">T179</f>
        <v>0</v>
      </c>
      <c r="BJ179" s="12">
        <f t="shared" ref="BJ179:BJ191" si="657">U179</f>
        <v>0</v>
      </c>
      <c r="BK179" s="12">
        <f t="shared" ref="BK179:BK191" si="658">V179</f>
        <v>0</v>
      </c>
      <c r="BL179" s="12">
        <f t="shared" ref="BL179:BL191" si="659">W179</f>
        <v>0</v>
      </c>
      <c r="BM179" s="12">
        <f t="shared" ref="BM179:BM191" si="660">X179</f>
        <v>0</v>
      </c>
      <c r="BN179" s="12">
        <f t="shared" ref="BN179:BN191" si="661">Y179</f>
        <v>0</v>
      </c>
      <c r="BO179" s="12">
        <f t="shared" ref="BO179:BO191" si="662">Z179</f>
        <v>0</v>
      </c>
      <c r="BP179" s="12">
        <f t="shared" ref="BP179:BP191" si="663">AA179</f>
        <v>0</v>
      </c>
      <c r="BQ179" s="12">
        <f t="shared" ref="BQ179:BQ191" si="664">AB179</f>
        <v>0</v>
      </c>
      <c r="BR179" s="12">
        <f t="shared" ref="BR179:BR191" si="665">AC179</f>
        <v>0</v>
      </c>
      <c r="BS179" s="12">
        <f t="shared" ref="BS179:BS191" si="666">AD179</f>
        <v>0</v>
      </c>
      <c r="BT179" s="12">
        <f t="shared" ref="BT179:BT191" si="667">AE179</f>
        <v>0</v>
      </c>
      <c r="BU179" s="12">
        <f t="shared" ref="BU179:BU191" si="668">AF179</f>
        <v>0</v>
      </c>
      <c r="BV179" s="12">
        <f t="shared" ref="BV179:BV191" si="669">AG179</f>
        <v>0</v>
      </c>
      <c r="BW179" s="12">
        <f t="shared" ref="BW179:BW191" si="670">AH179</f>
        <v>0</v>
      </c>
      <c r="BX179" s="12">
        <f t="shared" ref="BX179:BX191" si="671">AI179</f>
        <v>0</v>
      </c>
      <c r="BY179" s="12">
        <f t="shared" ref="BY179:BY191" si="672">AJ179</f>
        <v>0</v>
      </c>
      <c r="BZ179" s="12">
        <f t="shared" ref="BZ179:BZ191" si="673">AK179</f>
        <v>0</v>
      </c>
      <c r="CA179" s="12">
        <f t="shared" ref="CA179:CA191" si="674">AL179</f>
        <v>0</v>
      </c>
      <c r="CB179" s="12">
        <f t="shared" ref="CB179:CB191" si="675">AM179</f>
        <v>0</v>
      </c>
      <c r="CC179" s="12">
        <f t="shared" ref="CC179:CC191" si="676">AN179</f>
        <v>0</v>
      </c>
      <c r="CD179" s="12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2"/>
      <c r="CQ179" s="17"/>
      <c r="CR179" s="17"/>
      <c r="CS179" s="17"/>
      <c r="CT179" s="17"/>
      <c r="CU179" s="17"/>
      <c r="CV179" s="12"/>
      <c r="CW179" s="17"/>
      <c r="CX179" s="17"/>
      <c r="CY179" s="17"/>
      <c r="CZ179" s="17"/>
      <c r="DA179" s="17"/>
      <c r="DB179" s="17"/>
      <c r="DC179" s="17"/>
      <c r="DD179" s="17"/>
      <c r="DE179" s="12"/>
      <c r="DF179" s="17"/>
      <c r="DG179" s="17"/>
      <c r="DH179" s="17"/>
      <c r="DI179" s="36">
        <f>(AT179+SUM(AU179:AX179)*1000+SUM(AY179:CC179)-SUM(CD179:DH179))</f>
        <v>0</v>
      </c>
      <c r="DJ179" s="12">
        <f>DI179*1000</f>
        <v>0</v>
      </c>
      <c r="DK179" s="12">
        <f>SUM(CD179:CJ179)</f>
        <v>0</v>
      </c>
      <c r="DL179" s="12">
        <f>DK179*1000</f>
        <v>0</v>
      </c>
      <c r="DM179" s="12">
        <f>SUM(CK179:CQ179)</f>
        <v>0</v>
      </c>
      <c r="DN179" s="12">
        <f>DM179*1000</f>
        <v>0</v>
      </c>
      <c r="DO179" s="12">
        <f>SUM(CR179:CX179)</f>
        <v>0</v>
      </c>
      <c r="DP179" s="12">
        <f>DO179*1000</f>
        <v>0</v>
      </c>
      <c r="DQ179" s="12">
        <f>SUM(CY179:DH179)</f>
        <v>0</v>
      </c>
      <c r="DR179" s="12">
        <f>DQ179*1000</f>
        <v>0</v>
      </c>
      <c r="DS179" s="12">
        <f>DK179+DM179+DO179+DQ179</f>
        <v>0</v>
      </c>
      <c r="DT179" s="12">
        <f>DS179*1000</f>
        <v>0</v>
      </c>
    </row>
    <row r="180" spans="1:124" ht="14.25" customHeight="1">
      <c r="A180" s="30">
        <v>176</v>
      </c>
      <c r="B180" s="92" t="s">
        <v>353</v>
      </c>
      <c r="C180" s="15" t="s">
        <v>32</v>
      </c>
      <c r="D180" s="95"/>
      <c r="E180" s="56">
        <v>0</v>
      </c>
      <c r="F180" s="103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2">
        <f t="shared" si="380"/>
        <v>0</v>
      </c>
      <c r="AP180" s="17"/>
      <c r="AQ180" s="12">
        <f t="shared" si="627"/>
        <v>600</v>
      </c>
      <c r="AR180" s="58"/>
      <c r="AS180" s="126">
        <f t="shared" si="573"/>
        <v>10</v>
      </c>
      <c r="AT180" s="56">
        <v>3</v>
      </c>
      <c r="AU180" s="50">
        <v>8</v>
      </c>
      <c r="AV180" s="12"/>
      <c r="AW180" s="12"/>
      <c r="AX180" s="12"/>
      <c r="AY180" s="12">
        <f t="shared" si="646"/>
        <v>0</v>
      </c>
      <c r="AZ180" s="12">
        <f t="shared" si="647"/>
        <v>0</v>
      </c>
      <c r="BA180" s="12">
        <f t="shared" si="648"/>
        <v>0</v>
      </c>
      <c r="BB180" s="12">
        <f t="shared" si="649"/>
        <v>0</v>
      </c>
      <c r="BC180" s="12">
        <f t="shared" si="650"/>
        <v>0</v>
      </c>
      <c r="BD180" s="12">
        <f t="shared" si="651"/>
        <v>0</v>
      </c>
      <c r="BE180" s="12">
        <f t="shared" si="652"/>
        <v>0</v>
      </c>
      <c r="BF180" s="12">
        <f t="shared" si="653"/>
        <v>0</v>
      </c>
      <c r="BG180" s="12">
        <f t="shared" si="654"/>
        <v>0</v>
      </c>
      <c r="BH180" s="12">
        <f t="shared" si="655"/>
        <v>0</v>
      </c>
      <c r="BI180" s="12">
        <f t="shared" si="656"/>
        <v>0</v>
      </c>
      <c r="BJ180" s="12">
        <f t="shared" si="657"/>
        <v>0</v>
      </c>
      <c r="BK180" s="12">
        <f t="shared" si="658"/>
        <v>0</v>
      </c>
      <c r="BL180" s="12">
        <f t="shared" si="659"/>
        <v>0</v>
      </c>
      <c r="BM180" s="12">
        <f t="shared" si="660"/>
        <v>0</v>
      </c>
      <c r="BN180" s="12">
        <f t="shared" si="661"/>
        <v>0</v>
      </c>
      <c r="BO180" s="12">
        <f t="shared" si="662"/>
        <v>0</v>
      </c>
      <c r="BP180" s="12">
        <f t="shared" si="663"/>
        <v>0</v>
      </c>
      <c r="BQ180" s="12">
        <f t="shared" si="664"/>
        <v>0</v>
      </c>
      <c r="BR180" s="12">
        <f t="shared" si="665"/>
        <v>0</v>
      </c>
      <c r="BS180" s="12">
        <f t="shared" si="666"/>
        <v>0</v>
      </c>
      <c r="BT180" s="12">
        <f t="shared" si="667"/>
        <v>0</v>
      </c>
      <c r="BU180" s="12">
        <f t="shared" si="668"/>
        <v>0</v>
      </c>
      <c r="BV180" s="12">
        <f t="shared" si="669"/>
        <v>0</v>
      </c>
      <c r="BW180" s="12">
        <f t="shared" si="670"/>
        <v>0</v>
      </c>
      <c r="BX180" s="12">
        <f t="shared" si="671"/>
        <v>0</v>
      </c>
      <c r="BY180" s="12">
        <f t="shared" si="672"/>
        <v>0</v>
      </c>
      <c r="BZ180" s="12">
        <f t="shared" si="673"/>
        <v>0</v>
      </c>
      <c r="CA180" s="12">
        <f t="shared" si="674"/>
        <v>0</v>
      </c>
      <c r="CB180" s="12">
        <f t="shared" si="675"/>
        <v>0</v>
      </c>
      <c r="CC180" s="12">
        <f t="shared" si="676"/>
        <v>0</v>
      </c>
      <c r="CD180" s="12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>
        <v>1</v>
      </c>
      <c r="CP180" s="12"/>
      <c r="CQ180" s="17"/>
      <c r="CR180" s="17"/>
      <c r="CS180" s="17"/>
      <c r="CT180" s="17"/>
      <c r="CU180" s="17"/>
      <c r="CV180" s="12"/>
      <c r="CW180" s="17"/>
      <c r="CX180" s="17"/>
      <c r="CY180" s="17"/>
      <c r="CZ180" s="17"/>
      <c r="DA180" s="17"/>
      <c r="DB180" s="17"/>
      <c r="DC180" s="17"/>
      <c r="DD180" s="17"/>
      <c r="DE180" s="12"/>
      <c r="DF180" s="17"/>
      <c r="DG180" s="17"/>
      <c r="DH180" s="17"/>
      <c r="DI180" s="36">
        <f>(AT180+SUM(AU180:AX180)+SUM(AY180:CC180)-SUM(CD180:DH180))</f>
        <v>10</v>
      </c>
      <c r="DJ180" s="12">
        <f>DI180*60</f>
        <v>600</v>
      </c>
      <c r="DK180" s="12">
        <f>SUM(CD180:CJ180)</f>
        <v>0</v>
      </c>
      <c r="DL180" s="12">
        <f>DK180*60</f>
        <v>0</v>
      </c>
      <c r="DM180" s="12">
        <f>SUM(CK180:CQ180)</f>
        <v>1</v>
      </c>
      <c r="DN180" s="12">
        <f>DM180*60</f>
        <v>60</v>
      </c>
      <c r="DO180" s="12">
        <f>SUM(CR180:CX180)</f>
        <v>0</v>
      </c>
      <c r="DP180" s="12">
        <f>DO180*60</f>
        <v>0</v>
      </c>
      <c r="DQ180" s="12">
        <f>SUM(CY180:DH180)</f>
        <v>0</v>
      </c>
      <c r="DR180" s="12">
        <f>DQ180*60</f>
        <v>0</v>
      </c>
      <c r="DS180" s="12">
        <f>DK180+DM180+DO180+DQ180</f>
        <v>1</v>
      </c>
      <c r="DT180" s="12">
        <f>DS180*60</f>
        <v>60</v>
      </c>
    </row>
    <row r="181" spans="1:124" ht="14.25" customHeight="1">
      <c r="A181" s="12">
        <v>177</v>
      </c>
      <c r="B181" s="19" t="s">
        <v>208</v>
      </c>
      <c r="C181" s="14"/>
      <c r="D181" s="95"/>
      <c r="E181" s="56">
        <v>60</v>
      </c>
      <c r="F181" s="103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>
        <v>20</v>
      </c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2">
        <f t="shared" si="380"/>
        <v>40</v>
      </c>
      <c r="AP181" s="18">
        <f>AO181*50</f>
        <v>2000</v>
      </c>
      <c r="AQ181" s="12">
        <f t="shared" si="627"/>
        <v>3850</v>
      </c>
      <c r="AR181" s="17"/>
      <c r="AS181" s="126">
        <f t="shared" si="573"/>
        <v>37</v>
      </c>
      <c r="AT181" s="56">
        <v>17</v>
      </c>
      <c r="AU181" s="50"/>
      <c r="AV181" s="12"/>
      <c r="AW181" s="12"/>
      <c r="AX181" s="12"/>
      <c r="AY181" s="12">
        <f t="shared" si="646"/>
        <v>0</v>
      </c>
      <c r="AZ181" s="12">
        <f t="shared" si="647"/>
        <v>0</v>
      </c>
      <c r="BA181" s="12">
        <f t="shared" si="648"/>
        <v>0</v>
      </c>
      <c r="BB181" s="12">
        <f t="shared" si="649"/>
        <v>0</v>
      </c>
      <c r="BC181" s="12">
        <f t="shared" si="650"/>
        <v>0</v>
      </c>
      <c r="BD181" s="12">
        <f t="shared" si="651"/>
        <v>0</v>
      </c>
      <c r="BE181" s="12">
        <f t="shared" si="652"/>
        <v>0</v>
      </c>
      <c r="BF181" s="12">
        <f t="shared" si="653"/>
        <v>20</v>
      </c>
      <c r="BG181" s="12">
        <f t="shared" si="654"/>
        <v>0</v>
      </c>
      <c r="BH181" s="12">
        <f t="shared" si="655"/>
        <v>0</v>
      </c>
      <c r="BI181" s="12">
        <f t="shared" si="656"/>
        <v>0</v>
      </c>
      <c r="BJ181" s="12">
        <f t="shared" si="657"/>
        <v>0</v>
      </c>
      <c r="BK181" s="12">
        <f t="shared" si="658"/>
        <v>0</v>
      </c>
      <c r="BL181" s="12">
        <f t="shared" si="659"/>
        <v>0</v>
      </c>
      <c r="BM181" s="12">
        <f t="shared" si="660"/>
        <v>0</v>
      </c>
      <c r="BN181" s="12">
        <f t="shared" si="661"/>
        <v>0</v>
      </c>
      <c r="BO181" s="12">
        <f t="shared" si="662"/>
        <v>0</v>
      </c>
      <c r="BP181" s="12">
        <f t="shared" si="663"/>
        <v>0</v>
      </c>
      <c r="BQ181" s="12">
        <f t="shared" si="664"/>
        <v>0</v>
      </c>
      <c r="BR181" s="12">
        <f t="shared" si="665"/>
        <v>0</v>
      </c>
      <c r="BS181" s="12">
        <f t="shared" si="666"/>
        <v>0</v>
      </c>
      <c r="BT181" s="12">
        <f t="shared" si="667"/>
        <v>0</v>
      </c>
      <c r="BU181" s="12">
        <f t="shared" si="668"/>
        <v>0</v>
      </c>
      <c r="BV181" s="12">
        <f t="shared" si="669"/>
        <v>0</v>
      </c>
      <c r="BW181" s="12">
        <f t="shared" si="670"/>
        <v>0</v>
      </c>
      <c r="BX181" s="12">
        <f t="shared" si="671"/>
        <v>0</v>
      </c>
      <c r="BY181" s="12">
        <f t="shared" si="672"/>
        <v>0</v>
      </c>
      <c r="BZ181" s="12">
        <f t="shared" si="673"/>
        <v>0</v>
      </c>
      <c r="CA181" s="12">
        <f t="shared" si="674"/>
        <v>0</v>
      </c>
      <c r="CB181" s="12">
        <f t="shared" si="675"/>
        <v>0</v>
      </c>
      <c r="CC181" s="12">
        <f t="shared" si="676"/>
        <v>0</v>
      </c>
      <c r="CD181" s="12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2"/>
      <c r="CQ181" s="17"/>
      <c r="CR181" s="17"/>
      <c r="CS181" s="17"/>
      <c r="CT181" s="17"/>
      <c r="CU181" s="17"/>
      <c r="CV181" s="12"/>
      <c r="CW181" s="17"/>
      <c r="CX181" s="17"/>
      <c r="CY181" s="17"/>
      <c r="CZ181" s="17"/>
      <c r="DA181" s="17"/>
      <c r="DB181" s="17"/>
      <c r="DC181" s="17"/>
      <c r="DD181" s="17"/>
      <c r="DE181" s="12"/>
      <c r="DF181" s="17"/>
      <c r="DG181" s="17"/>
      <c r="DH181" s="17"/>
      <c r="DI181" s="36">
        <f>(AT181+SUM(AU181:AX181)*500+SUM(AY181:CC181)-SUM(CD181:DH181))</f>
        <v>37</v>
      </c>
      <c r="DJ181" s="12">
        <f>DI181*50</f>
        <v>1850</v>
      </c>
      <c r="DK181" s="12">
        <f t="shared" ref="DK181:DK191" si="677">SUM(CD181:CJ181)</f>
        <v>0</v>
      </c>
      <c r="DL181" s="12">
        <f>DK181*50</f>
        <v>0</v>
      </c>
      <c r="DM181" s="12">
        <f t="shared" ref="DM181:DM191" si="678">SUM(CK181:CQ181)</f>
        <v>0</v>
      </c>
      <c r="DN181" s="12">
        <f>DM181*50</f>
        <v>0</v>
      </c>
      <c r="DO181" s="12">
        <f t="shared" ref="DO181:DO191" si="679">SUM(CR181:CX181)</f>
        <v>0</v>
      </c>
      <c r="DP181" s="12">
        <f>DO181*50</f>
        <v>0</v>
      </c>
      <c r="DQ181" s="12">
        <f t="shared" ref="DQ181:DQ191" si="680">SUM(CY181:DH181)</f>
        <v>0</v>
      </c>
      <c r="DR181" s="12">
        <f>DQ181*50</f>
        <v>0</v>
      </c>
      <c r="DS181" s="12">
        <f t="shared" ref="DS181:DS191" si="681">DK181+DM181+DO181+DQ181</f>
        <v>0</v>
      </c>
      <c r="DT181" s="12">
        <f>DS181*50</f>
        <v>0</v>
      </c>
    </row>
    <row r="182" spans="1:124" ht="14.25" customHeight="1">
      <c r="A182" s="12">
        <v>178</v>
      </c>
      <c r="B182" s="19" t="s">
        <v>209</v>
      </c>
      <c r="C182" s="14"/>
      <c r="D182" s="95"/>
      <c r="E182" s="56">
        <v>5</v>
      </c>
      <c r="F182" s="103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2">
        <f t="shared" si="380"/>
        <v>5</v>
      </c>
      <c r="AP182" s="17">
        <f>AO182*100</f>
        <v>500</v>
      </c>
      <c r="AQ182" s="12">
        <f t="shared" si="627"/>
        <v>700</v>
      </c>
      <c r="AR182" s="17"/>
      <c r="AS182" s="126">
        <f t="shared" si="573"/>
        <v>2</v>
      </c>
      <c r="AT182" s="56">
        <v>2</v>
      </c>
      <c r="AU182" s="50"/>
      <c r="AV182" s="12"/>
      <c r="AW182" s="12"/>
      <c r="AX182" s="12"/>
      <c r="AY182" s="12">
        <f t="shared" si="646"/>
        <v>0</v>
      </c>
      <c r="AZ182" s="12">
        <f t="shared" si="647"/>
        <v>0</v>
      </c>
      <c r="BA182" s="12">
        <f t="shared" si="648"/>
        <v>0</v>
      </c>
      <c r="BB182" s="12">
        <f t="shared" si="649"/>
        <v>0</v>
      </c>
      <c r="BC182" s="12">
        <f t="shared" si="650"/>
        <v>0</v>
      </c>
      <c r="BD182" s="12">
        <f t="shared" si="651"/>
        <v>0</v>
      </c>
      <c r="BE182" s="12">
        <f t="shared" si="652"/>
        <v>0</v>
      </c>
      <c r="BF182" s="12">
        <f t="shared" si="653"/>
        <v>0</v>
      </c>
      <c r="BG182" s="12">
        <f t="shared" si="654"/>
        <v>0</v>
      </c>
      <c r="BH182" s="12">
        <f t="shared" si="655"/>
        <v>0</v>
      </c>
      <c r="BI182" s="12">
        <f t="shared" si="656"/>
        <v>0</v>
      </c>
      <c r="BJ182" s="12">
        <f t="shared" si="657"/>
        <v>0</v>
      </c>
      <c r="BK182" s="12">
        <f t="shared" si="658"/>
        <v>0</v>
      </c>
      <c r="BL182" s="12">
        <f t="shared" si="659"/>
        <v>0</v>
      </c>
      <c r="BM182" s="12">
        <f t="shared" si="660"/>
        <v>0</v>
      </c>
      <c r="BN182" s="12">
        <f t="shared" si="661"/>
        <v>0</v>
      </c>
      <c r="BO182" s="12">
        <f t="shared" si="662"/>
        <v>0</v>
      </c>
      <c r="BP182" s="12">
        <f t="shared" si="663"/>
        <v>0</v>
      </c>
      <c r="BQ182" s="12">
        <f t="shared" si="664"/>
        <v>0</v>
      </c>
      <c r="BR182" s="12">
        <f t="shared" si="665"/>
        <v>0</v>
      </c>
      <c r="BS182" s="12">
        <f t="shared" si="666"/>
        <v>0</v>
      </c>
      <c r="BT182" s="12">
        <f t="shared" si="667"/>
        <v>0</v>
      </c>
      <c r="BU182" s="12">
        <f t="shared" si="668"/>
        <v>0</v>
      </c>
      <c r="BV182" s="12">
        <f t="shared" si="669"/>
        <v>0</v>
      </c>
      <c r="BW182" s="12">
        <f t="shared" si="670"/>
        <v>0</v>
      </c>
      <c r="BX182" s="12">
        <f t="shared" si="671"/>
        <v>0</v>
      </c>
      <c r="BY182" s="12">
        <f t="shared" si="672"/>
        <v>0</v>
      </c>
      <c r="BZ182" s="12">
        <f t="shared" si="673"/>
        <v>0</v>
      </c>
      <c r="CA182" s="12">
        <f t="shared" si="674"/>
        <v>0</v>
      </c>
      <c r="CB182" s="12">
        <f t="shared" si="675"/>
        <v>0</v>
      </c>
      <c r="CC182" s="12">
        <f t="shared" si="676"/>
        <v>0</v>
      </c>
      <c r="CD182" s="12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2"/>
      <c r="CQ182" s="17"/>
      <c r="CR182" s="17"/>
      <c r="CS182" s="17"/>
      <c r="CT182" s="17"/>
      <c r="CU182" s="17"/>
      <c r="CV182" s="12"/>
      <c r="CW182" s="17"/>
      <c r="CX182" s="17"/>
      <c r="CY182" s="17"/>
      <c r="CZ182" s="17"/>
      <c r="DA182" s="17"/>
      <c r="DB182" s="17"/>
      <c r="DC182" s="17"/>
      <c r="DD182" s="17"/>
      <c r="DE182" s="12"/>
      <c r="DF182" s="17"/>
      <c r="DG182" s="17"/>
      <c r="DH182" s="17"/>
      <c r="DI182" s="36">
        <f t="shared" si="527"/>
        <v>2</v>
      </c>
      <c r="DJ182" s="12">
        <f>DI182*100</f>
        <v>200</v>
      </c>
      <c r="DK182" s="12">
        <f t="shared" si="677"/>
        <v>0</v>
      </c>
      <c r="DL182" s="12">
        <f>DK182*100</f>
        <v>0</v>
      </c>
      <c r="DM182" s="12">
        <f t="shared" si="678"/>
        <v>0</v>
      </c>
      <c r="DN182" s="12">
        <f>DM182*100</f>
        <v>0</v>
      </c>
      <c r="DO182" s="12">
        <f t="shared" si="679"/>
        <v>0</v>
      </c>
      <c r="DP182" s="12">
        <f>DO182*100</f>
        <v>0</v>
      </c>
      <c r="DQ182" s="12">
        <f t="shared" si="680"/>
        <v>0</v>
      </c>
      <c r="DR182" s="12">
        <f>DQ182*100</f>
        <v>0</v>
      </c>
      <c r="DS182" s="12">
        <f t="shared" si="681"/>
        <v>0</v>
      </c>
      <c r="DT182" s="12">
        <f>DS182*100</f>
        <v>0</v>
      </c>
    </row>
    <row r="183" spans="1:124" ht="14.25" customHeight="1">
      <c r="A183" s="28">
        <v>179</v>
      </c>
      <c r="B183" s="19" t="s">
        <v>210</v>
      </c>
      <c r="C183" s="14"/>
      <c r="D183" s="95"/>
      <c r="E183" s="56">
        <v>0</v>
      </c>
      <c r="F183" s="103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2">
        <f t="shared" si="380"/>
        <v>0</v>
      </c>
      <c r="AP183" s="17">
        <f>AO183</f>
        <v>0</v>
      </c>
      <c r="AQ183" s="12">
        <f t="shared" si="627"/>
        <v>83</v>
      </c>
      <c r="AR183" s="17"/>
      <c r="AS183" s="126">
        <f t="shared" si="573"/>
        <v>83</v>
      </c>
      <c r="AT183" s="56">
        <v>83</v>
      </c>
      <c r="AU183" s="50"/>
      <c r="AV183" s="12"/>
      <c r="AW183" s="12"/>
      <c r="AX183" s="12"/>
      <c r="AY183" s="12">
        <f t="shared" si="646"/>
        <v>0</v>
      </c>
      <c r="AZ183" s="12">
        <f t="shared" si="647"/>
        <v>0</v>
      </c>
      <c r="BA183" s="12">
        <f t="shared" si="648"/>
        <v>0</v>
      </c>
      <c r="BB183" s="12">
        <f t="shared" si="649"/>
        <v>0</v>
      </c>
      <c r="BC183" s="12">
        <f t="shared" si="650"/>
        <v>0</v>
      </c>
      <c r="BD183" s="12">
        <f t="shared" si="651"/>
        <v>0</v>
      </c>
      <c r="BE183" s="12">
        <f t="shared" si="652"/>
        <v>0</v>
      </c>
      <c r="BF183" s="12">
        <f t="shared" si="653"/>
        <v>0</v>
      </c>
      <c r="BG183" s="12">
        <f t="shared" si="654"/>
        <v>0</v>
      </c>
      <c r="BH183" s="12">
        <f t="shared" si="655"/>
        <v>0</v>
      </c>
      <c r="BI183" s="12">
        <f t="shared" si="656"/>
        <v>0</v>
      </c>
      <c r="BJ183" s="12">
        <f t="shared" si="657"/>
        <v>0</v>
      </c>
      <c r="BK183" s="12">
        <f t="shared" si="658"/>
        <v>0</v>
      </c>
      <c r="BL183" s="12">
        <f t="shared" si="659"/>
        <v>0</v>
      </c>
      <c r="BM183" s="12">
        <f t="shared" si="660"/>
        <v>0</v>
      </c>
      <c r="BN183" s="12">
        <f t="shared" si="661"/>
        <v>0</v>
      </c>
      <c r="BO183" s="12">
        <f t="shared" si="662"/>
        <v>0</v>
      </c>
      <c r="BP183" s="12">
        <f t="shared" si="663"/>
        <v>0</v>
      </c>
      <c r="BQ183" s="12">
        <f t="shared" si="664"/>
        <v>0</v>
      </c>
      <c r="BR183" s="12">
        <f t="shared" si="665"/>
        <v>0</v>
      </c>
      <c r="BS183" s="12">
        <f t="shared" si="666"/>
        <v>0</v>
      </c>
      <c r="BT183" s="12">
        <f t="shared" si="667"/>
        <v>0</v>
      </c>
      <c r="BU183" s="12">
        <f t="shared" si="668"/>
        <v>0</v>
      </c>
      <c r="BV183" s="12">
        <f t="shared" si="669"/>
        <v>0</v>
      </c>
      <c r="BW183" s="12">
        <f t="shared" si="670"/>
        <v>0</v>
      </c>
      <c r="BX183" s="12">
        <f t="shared" si="671"/>
        <v>0</v>
      </c>
      <c r="BY183" s="12">
        <f t="shared" si="672"/>
        <v>0</v>
      </c>
      <c r="BZ183" s="12">
        <f t="shared" si="673"/>
        <v>0</v>
      </c>
      <c r="CA183" s="12">
        <f t="shared" si="674"/>
        <v>0</v>
      </c>
      <c r="CB183" s="12">
        <f t="shared" si="675"/>
        <v>0</v>
      </c>
      <c r="CC183" s="12">
        <f t="shared" si="676"/>
        <v>0</v>
      </c>
      <c r="CD183" s="12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2"/>
      <c r="CQ183" s="17"/>
      <c r="CR183" s="17"/>
      <c r="CS183" s="17"/>
      <c r="CT183" s="17"/>
      <c r="CU183" s="17"/>
      <c r="CV183" s="12"/>
      <c r="CW183" s="17"/>
      <c r="CX183" s="17"/>
      <c r="CY183" s="17"/>
      <c r="CZ183" s="17"/>
      <c r="DA183" s="17"/>
      <c r="DB183" s="17"/>
      <c r="DC183" s="17"/>
      <c r="DD183" s="17"/>
      <c r="DE183" s="12"/>
      <c r="DF183" s="17"/>
      <c r="DG183" s="17"/>
      <c r="DH183" s="17"/>
      <c r="DI183" s="36">
        <f>(AT183+SUM(AU183:AX183)+SUM(AY183:CC183)-SUM(CD183:DH183))</f>
        <v>83</v>
      </c>
      <c r="DJ183" s="12">
        <f>DI183</f>
        <v>83</v>
      </c>
      <c r="DK183" s="12">
        <f t="shared" si="677"/>
        <v>0</v>
      </c>
      <c r="DL183" s="12">
        <f>DK183</f>
        <v>0</v>
      </c>
      <c r="DM183" s="12">
        <f t="shared" si="678"/>
        <v>0</v>
      </c>
      <c r="DN183" s="12">
        <f>DM183</f>
        <v>0</v>
      </c>
      <c r="DO183" s="12">
        <f t="shared" si="679"/>
        <v>0</v>
      </c>
      <c r="DP183" s="12">
        <f>DO183</f>
        <v>0</v>
      </c>
      <c r="DQ183" s="12">
        <f t="shared" si="680"/>
        <v>0</v>
      </c>
      <c r="DR183" s="12">
        <f>DQ183</f>
        <v>0</v>
      </c>
      <c r="DS183" s="12">
        <f t="shared" si="681"/>
        <v>0</v>
      </c>
      <c r="DT183" s="12">
        <f>DS183</f>
        <v>0</v>
      </c>
    </row>
    <row r="184" spans="1:124" ht="14.25" customHeight="1">
      <c r="A184" s="12">
        <v>180</v>
      </c>
      <c r="B184" s="26" t="s">
        <v>211</v>
      </c>
      <c r="C184" s="14"/>
      <c r="D184" s="100" t="s">
        <v>105</v>
      </c>
      <c r="E184" s="56">
        <v>18</v>
      </c>
      <c r="F184" s="103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2">
        <f t="shared" si="380"/>
        <v>18</v>
      </c>
      <c r="AP184" s="17">
        <f t="shared" ref="AP184:AP185" si="682">AO184*50</f>
        <v>900</v>
      </c>
      <c r="AQ184" s="12">
        <f t="shared" si="627"/>
        <v>900</v>
      </c>
      <c r="AR184" s="17"/>
      <c r="AS184" s="126">
        <f t="shared" si="573"/>
        <v>0</v>
      </c>
      <c r="AT184" s="56">
        <v>0</v>
      </c>
      <c r="AU184" s="50"/>
      <c r="AV184" s="12"/>
      <c r="AW184" s="12"/>
      <c r="AX184" s="12"/>
      <c r="AY184" s="12">
        <f t="shared" si="646"/>
        <v>0</v>
      </c>
      <c r="AZ184" s="12">
        <f t="shared" si="647"/>
        <v>0</v>
      </c>
      <c r="BA184" s="12">
        <f t="shared" si="648"/>
        <v>0</v>
      </c>
      <c r="BB184" s="12">
        <f t="shared" si="649"/>
        <v>0</v>
      </c>
      <c r="BC184" s="12">
        <f t="shared" si="650"/>
        <v>0</v>
      </c>
      <c r="BD184" s="12">
        <f t="shared" si="651"/>
        <v>0</v>
      </c>
      <c r="BE184" s="12">
        <f t="shared" si="652"/>
        <v>0</v>
      </c>
      <c r="BF184" s="12">
        <f t="shared" si="653"/>
        <v>0</v>
      </c>
      <c r="BG184" s="12">
        <f t="shared" si="654"/>
        <v>0</v>
      </c>
      <c r="BH184" s="12">
        <f t="shared" si="655"/>
        <v>0</v>
      </c>
      <c r="BI184" s="12">
        <f t="shared" si="656"/>
        <v>0</v>
      </c>
      <c r="BJ184" s="12">
        <f t="shared" si="657"/>
        <v>0</v>
      </c>
      <c r="BK184" s="12">
        <f t="shared" si="658"/>
        <v>0</v>
      </c>
      <c r="BL184" s="12">
        <f t="shared" si="659"/>
        <v>0</v>
      </c>
      <c r="BM184" s="12">
        <f t="shared" si="660"/>
        <v>0</v>
      </c>
      <c r="BN184" s="12">
        <f t="shared" si="661"/>
        <v>0</v>
      </c>
      <c r="BO184" s="12">
        <f t="shared" si="662"/>
        <v>0</v>
      </c>
      <c r="BP184" s="12">
        <f t="shared" si="663"/>
        <v>0</v>
      </c>
      <c r="BQ184" s="12">
        <f t="shared" si="664"/>
        <v>0</v>
      </c>
      <c r="BR184" s="12">
        <f t="shared" si="665"/>
        <v>0</v>
      </c>
      <c r="BS184" s="12">
        <f t="shared" si="666"/>
        <v>0</v>
      </c>
      <c r="BT184" s="12">
        <f t="shared" si="667"/>
        <v>0</v>
      </c>
      <c r="BU184" s="12">
        <f t="shared" si="668"/>
        <v>0</v>
      </c>
      <c r="BV184" s="12">
        <f t="shared" si="669"/>
        <v>0</v>
      </c>
      <c r="BW184" s="12">
        <f t="shared" si="670"/>
        <v>0</v>
      </c>
      <c r="BX184" s="12">
        <f t="shared" si="671"/>
        <v>0</v>
      </c>
      <c r="BY184" s="12">
        <f t="shared" si="672"/>
        <v>0</v>
      </c>
      <c r="BZ184" s="12">
        <f t="shared" si="673"/>
        <v>0</v>
      </c>
      <c r="CA184" s="12">
        <f t="shared" si="674"/>
        <v>0</v>
      </c>
      <c r="CB184" s="12">
        <f t="shared" si="675"/>
        <v>0</v>
      </c>
      <c r="CC184" s="12">
        <f t="shared" si="676"/>
        <v>0</v>
      </c>
      <c r="CD184" s="12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2"/>
      <c r="CQ184" s="17"/>
      <c r="CR184" s="17"/>
      <c r="CS184" s="17"/>
      <c r="CT184" s="17"/>
      <c r="CU184" s="17"/>
      <c r="CV184" s="12"/>
      <c r="CW184" s="17"/>
      <c r="CX184" s="17"/>
      <c r="CY184" s="17"/>
      <c r="CZ184" s="17"/>
      <c r="DA184" s="17"/>
      <c r="DB184" s="17"/>
      <c r="DC184" s="17"/>
      <c r="DD184" s="17"/>
      <c r="DE184" s="12"/>
      <c r="DF184" s="17"/>
      <c r="DG184" s="17"/>
      <c r="DH184" s="17"/>
      <c r="DI184" s="36">
        <f>(AT184+SUM(AU184:AX184)*50+SUM(AY184:CC184)-SUM(CD184:DH184))</f>
        <v>0</v>
      </c>
      <c r="DJ184" s="12">
        <f t="shared" ref="DJ184:DJ185" si="683">DI184*50</f>
        <v>0</v>
      </c>
      <c r="DK184" s="12">
        <f t="shared" si="677"/>
        <v>0</v>
      </c>
      <c r="DL184" s="12">
        <f t="shared" ref="DL184:DL185" si="684">DK184*50</f>
        <v>0</v>
      </c>
      <c r="DM184" s="12">
        <f t="shared" si="678"/>
        <v>0</v>
      </c>
      <c r="DN184" s="12">
        <f t="shared" ref="DN184:DN185" si="685">DM184*50</f>
        <v>0</v>
      </c>
      <c r="DO184" s="12">
        <f t="shared" si="679"/>
        <v>0</v>
      </c>
      <c r="DP184" s="12">
        <f t="shared" ref="DP184:DP185" si="686">DO184*50</f>
        <v>0</v>
      </c>
      <c r="DQ184" s="12">
        <f t="shared" si="680"/>
        <v>0</v>
      </c>
      <c r="DR184" s="12">
        <f t="shared" ref="DR184:DR185" si="687">DQ184*50</f>
        <v>0</v>
      </c>
      <c r="DS184" s="12">
        <f t="shared" si="681"/>
        <v>0</v>
      </c>
      <c r="DT184" s="12">
        <f t="shared" ref="DT184:DT185" si="688">DS184*50</f>
        <v>0</v>
      </c>
    </row>
    <row r="185" spans="1:124" ht="14.25" customHeight="1">
      <c r="A185" s="12">
        <v>181</v>
      </c>
      <c r="B185" s="26" t="s">
        <v>212</v>
      </c>
      <c r="C185" s="14"/>
      <c r="D185" s="100" t="s">
        <v>105</v>
      </c>
      <c r="E185" s="56">
        <v>4</v>
      </c>
      <c r="F185" s="103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2">
        <f t="shared" si="380"/>
        <v>4</v>
      </c>
      <c r="AP185" s="17">
        <f t="shared" si="682"/>
        <v>200</v>
      </c>
      <c r="AQ185" s="12">
        <f t="shared" si="627"/>
        <v>200</v>
      </c>
      <c r="AR185" s="17"/>
      <c r="AS185" s="126">
        <f t="shared" si="573"/>
        <v>0</v>
      </c>
      <c r="AT185" s="56">
        <v>0</v>
      </c>
      <c r="AU185" s="50"/>
      <c r="AV185" s="12"/>
      <c r="AW185" s="12"/>
      <c r="AX185" s="12"/>
      <c r="AY185" s="12">
        <f t="shared" si="646"/>
        <v>0</v>
      </c>
      <c r="AZ185" s="12">
        <f t="shared" si="647"/>
        <v>0</v>
      </c>
      <c r="BA185" s="12">
        <f t="shared" si="648"/>
        <v>0</v>
      </c>
      <c r="BB185" s="12">
        <f t="shared" si="649"/>
        <v>0</v>
      </c>
      <c r="BC185" s="12">
        <f t="shared" si="650"/>
        <v>0</v>
      </c>
      <c r="BD185" s="12">
        <f t="shared" si="651"/>
        <v>0</v>
      </c>
      <c r="BE185" s="12">
        <f t="shared" si="652"/>
        <v>0</v>
      </c>
      <c r="BF185" s="12">
        <f t="shared" si="653"/>
        <v>0</v>
      </c>
      <c r="BG185" s="12">
        <f t="shared" si="654"/>
        <v>0</v>
      </c>
      <c r="BH185" s="12">
        <f t="shared" si="655"/>
        <v>0</v>
      </c>
      <c r="BI185" s="12">
        <f t="shared" si="656"/>
        <v>0</v>
      </c>
      <c r="BJ185" s="12">
        <f t="shared" si="657"/>
        <v>0</v>
      </c>
      <c r="BK185" s="12">
        <f t="shared" si="658"/>
        <v>0</v>
      </c>
      <c r="BL185" s="12">
        <f t="shared" si="659"/>
        <v>0</v>
      </c>
      <c r="BM185" s="12">
        <f t="shared" si="660"/>
        <v>0</v>
      </c>
      <c r="BN185" s="12">
        <f t="shared" si="661"/>
        <v>0</v>
      </c>
      <c r="BO185" s="12">
        <f t="shared" si="662"/>
        <v>0</v>
      </c>
      <c r="BP185" s="12">
        <f t="shared" si="663"/>
        <v>0</v>
      </c>
      <c r="BQ185" s="12">
        <f t="shared" si="664"/>
        <v>0</v>
      </c>
      <c r="BR185" s="12">
        <f t="shared" si="665"/>
        <v>0</v>
      </c>
      <c r="BS185" s="12">
        <f t="shared" si="666"/>
        <v>0</v>
      </c>
      <c r="BT185" s="12">
        <f t="shared" si="667"/>
        <v>0</v>
      </c>
      <c r="BU185" s="12">
        <f t="shared" si="668"/>
        <v>0</v>
      </c>
      <c r="BV185" s="12">
        <f t="shared" si="669"/>
        <v>0</v>
      </c>
      <c r="BW185" s="12">
        <f t="shared" si="670"/>
        <v>0</v>
      </c>
      <c r="BX185" s="12">
        <f t="shared" si="671"/>
        <v>0</v>
      </c>
      <c r="BY185" s="12">
        <f t="shared" si="672"/>
        <v>0</v>
      </c>
      <c r="BZ185" s="12">
        <f t="shared" si="673"/>
        <v>0</v>
      </c>
      <c r="CA185" s="12">
        <f t="shared" si="674"/>
        <v>0</v>
      </c>
      <c r="CB185" s="12">
        <f t="shared" si="675"/>
        <v>0</v>
      </c>
      <c r="CC185" s="12">
        <f t="shared" si="676"/>
        <v>0</v>
      </c>
      <c r="CD185" s="12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2"/>
      <c r="CQ185" s="17"/>
      <c r="CR185" s="17"/>
      <c r="CS185" s="17"/>
      <c r="CT185" s="17"/>
      <c r="CU185" s="17"/>
      <c r="CV185" s="12"/>
      <c r="CW185" s="17"/>
      <c r="CX185" s="17"/>
      <c r="CY185" s="17"/>
      <c r="CZ185" s="17"/>
      <c r="DA185" s="17"/>
      <c r="DB185" s="17"/>
      <c r="DC185" s="17"/>
      <c r="DD185" s="17"/>
      <c r="DE185" s="12"/>
      <c r="DF185" s="17"/>
      <c r="DG185" s="17"/>
      <c r="DH185" s="17"/>
      <c r="DI185" s="36">
        <f>(AT185+SUM(AU185:AX185)*50+SUM(AY185:CC185)-SUM(CD185:DH185))</f>
        <v>0</v>
      </c>
      <c r="DJ185" s="12">
        <f t="shared" si="683"/>
        <v>0</v>
      </c>
      <c r="DK185" s="12">
        <f t="shared" si="677"/>
        <v>0</v>
      </c>
      <c r="DL185" s="12">
        <f t="shared" si="684"/>
        <v>0</v>
      </c>
      <c r="DM185" s="12">
        <f t="shared" si="678"/>
        <v>0</v>
      </c>
      <c r="DN185" s="12">
        <f t="shared" si="685"/>
        <v>0</v>
      </c>
      <c r="DO185" s="12">
        <f t="shared" si="679"/>
        <v>0</v>
      </c>
      <c r="DP185" s="12">
        <f t="shared" si="686"/>
        <v>0</v>
      </c>
      <c r="DQ185" s="12">
        <f t="shared" si="680"/>
        <v>0</v>
      </c>
      <c r="DR185" s="12">
        <f t="shared" si="687"/>
        <v>0</v>
      </c>
      <c r="DS185" s="12">
        <f t="shared" si="681"/>
        <v>0</v>
      </c>
      <c r="DT185" s="12">
        <f t="shared" si="688"/>
        <v>0</v>
      </c>
    </row>
    <row r="186" spans="1:124" ht="14.25" customHeight="1">
      <c r="A186" s="12">
        <v>182</v>
      </c>
      <c r="B186" s="19" t="s">
        <v>213</v>
      </c>
      <c r="C186" s="14"/>
      <c r="D186" s="95"/>
      <c r="E186" s="56">
        <v>7</v>
      </c>
      <c r="F186" s="103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2">
        <f t="shared" si="380"/>
        <v>7</v>
      </c>
      <c r="AP186" s="17">
        <f>AO186*25</f>
        <v>175</v>
      </c>
      <c r="AQ186" s="12">
        <f t="shared" si="627"/>
        <v>175</v>
      </c>
      <c r="AR186" s="17"/>
      <c r="AS186" s="126">
        <f t="shared" si="573"/>
        <v>0</v>
      </c>
      <c r="AT186" s="56">
        <v>0</v>
      </c>
      <c r="AU186" s="50"/>
      <c r="AV186" s="12"/>
      <c r="AW186" s="12"/>
      <c r="AX186" s="12"/>
      <c r="AY186" s="12">
        <f t="shared" si="646"/>
        <v>0</v>
      </c>
      <c r="AZ186" s="12">
        <f t="shared" si="647"/>
        <v>0</v>
      </c>
      <c r="BA186" s="12">
        <f t="shared" si="648"/>
        <v>0</v>
      </c>
      <c r="BB186" s="12">
        <f t="shared" si="649"/>
        <v>0</v>
      </c>
      <c r="BC186" s="12">
        <f t="shared" si="650"/>
        <v>0</v>
      </c>
      <c r="BD186" s="12">
        <f t="shared" si="651"/>
        <v>0</v>
      </c>
      <c r="BE186" s="12">
        <f t="shared" si="652"/>
        <v>0</v>
      </c>
      <c r="BF186" s="12">
        <f t="shared" si="653"/>
        <v>0</v>
      </c>
      <c r="BG186" s="12">
        <f t="shared" si="654"/>
        <v>0</v>
      </c>
      <c r="BH186" s="12">
        <f t="shared" si="655"/>
        <v>0</v>
      </c>
      <c r="BI186" s="12">
        <f t="shared" si="656"/>
        <v>0</v>
      </c>
      <c r="BJ186" s="12">
        <f t="shared" si="657"/>
        <v>0</v>
      </c>
      <c r="BK186" s="12">
        <f t="shared" si="658"/>
        <v>0</v>
      </c>
      <c r="BL186" s="12">
        <f t="shared" si="659"/>
        <v>0</v>
      </c>
      <c r="BM186" s="12">
        <f t="shared" si="660"/>
        <v>0</v>
      </c>
      <c r="BN186" s="12">
        <f t="shared" si="661"/>
        <v>0</v>
      </c>
      <c r="BO186" s="12">
        <f t="shared" si="662"/>
        <v>0</v>
      </c>
      <c r="BP186" s="12">
        <f t="shared" si="663"/>
        <v>0</v>
      </c>
      <c r="BQ186" s="12">
        <f t="shared" si="664"/>
        <v>0</v>
      </c>
      <c r="BR186" s="12">
        <f t="shared" si="665"/>
        <v>0</v>
      </c>
      <c r="BS186" s="12">
        <f t="shared" si="666"/>
        <v>0</v>
      </c>
      <c r="BT186" s="12">
        <f t="shared" si="667"/>
        <v>0</v>
      </c>
      <c r="BU186" s="12">
        <f t="shared" si="668"/>
        <v>0</v>
      </c>
      <c r="BV186" s="12">
        <f t="shared" si="669"/>
        <v>0</v>
      </c>
      <c r="BW186" s="12">
        <f t="shared" si="670"/>
        <v>0</v>
      </c>
      <c r="BX186" s="12">
        <f t="shared" si="671"/>
        <v>0</v>
      </c>
      <c r="BY186" s="12">
        <f t="shared" si="672"/>
        <v>0</v>
      </c>
      <c r="BZ186" s="12">
        <f t="shared" si="673"/>
        <v>0</v>
      </c>
      <c r="CA186" s="12">
        <f t="shared" si="674"/>
        <v>0</v>
      </c>
      <c r="CB186" s="12">
        <f t="shared" si="675"/>
        <v>0</v>
      </c>
      <c r="CC186" s="12">
        <f t="shared" si="676"/>
        <v>0</v>
      </c>
      <c r="CD186" s="12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2"/>
      <c r="CQ186" s="17"/>
      <c r="CR186" s="17"/>
      <c r="CS186" s="17"/>
      <c r="CT186" s="17"/>
      <c r="CU186" s="17"/>
      <c r="CV186" s="12"/>
      <c r="CW186" s="17"/>
      <c r="CX186" s="17"/>
      <c r="CY186" s="17"/>
      <c r="CZ186" s="17"/>
      <c r="DA186" s="17"/>
      <c r="DB186" s="17"/>
      <c r="DC186" s="17"/>
      <c r="DD186" s="17"/>
      <c r="DE186" s="12"/>
      <c r="DF186" s="17"/>
      <c r="DG186" s="17"/>
      <c r="DH186" s="17"/>
      <c r="DI186" s="36">
        <f>(AT186+SUM(AU186:AX186)*25+SUM(AY186:CC186)-SUM(CD186:DH186))</f>
        <v>0</v>
      </c>
      <c r="DJ186" s="12">
        <f>DI186*25</f>
        <v>0</v>
      </c>
      <c r="DK186" s="12">
        <f t="shared" si="677"/>
        <v>0</v>
      </c>
      <c r="DL186" s="12">
        <f>DK186*25</f>
        <v>0</v>
      </c>
      <c r="DM186" s="12">
        <f t="shared" si="678"/>
        <v>0</v>
      </c>
      <c r="DN186" s="12">
        <f>DM186*25</f>
        <v>0</v>
      </c>
      <c r="DO186" s="12">
        <f t="shared" si="679"/>
        <v>0</v>
      </c>
      <c r="DP186" s="12">
        <f>DO186*25</f>
        <v>0</v>
      </c>
      <c r="DQ186" s="12">
        <f t="shared" si="680"/>
        <v>0</v>
      </c>
      <c r="DR186" s="12">
        <f>DQ186*25</f>
        <v>0</v>
      </c>
      <c r="DS186" s="12">
        <f t="shared" si="681"/>
        <v>0</v>
      </c>
      <c r="DT186" s="12">
        <f>DS186*25</f>
        <v>0</v>
      </c>
    </row>
    <row r="187" spans="1:124" ht="14.25" customHeight="1">
      <c r="A187" s="30">
        <v>183</v>
      </c>
      <c r="B187" s="92" t="s">
        <v>361</v>
      </c>
      <c r="C187" s="15" t="s">
        <v>32</v>
      </c>
      <c r="D187" s="95"/>
      <c r="E187" s="56">
        <v>0</v>
      </c>
      <c r="F187" s="103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2">
        <f t="shared" si="380"/>
        <v>0</v>
      </c>
      <c r="AP187" s="17">
        <f>AO187</f>
        <v>0</v>
      </c>
      <c r="AQ187" s="12">
        <f t="shared" si="627"/>
        <v>16000</v>
      </c>
      <c r="AR187" s="58"/>
      <c r="AS187" s="126">
        <f t="shared" si="573"/>
        <v>16</v>
      </c>
      <c r="AT187" s="56">
        <v>0</v>
      </c>
      <c r="AU187" s="50">
        <v>5</v>
      </c>
      <c r="AV187" s="12"/>
      <c r="AW187" s="12"/>
      <c r="AX187" s="12"/>
      <c r="AY187" s="12">
        <f t="shared" si="646"/>
        <v>0</v>
      </c>
      <c r="AZ187" s="12">
        <f t="shared" si="647"/>
        <v>0</v>
      </c>
      <c r="BA187" s="12">
        <f t="shared" si="648"/>
        <v>0</v>
      </c>
      <c r="BB187" s="12">
        <f t="shared" si="649"/>
        <v>0</v>
      </c>
      <c r="BC187" s="12">
        <f t="shared" si="650"/>
        <v>0</v>
      </c>
      <c r="BD187" s="12">
        <f t="shared" si="651"/>
        <v>0</v>
      </c>
      <c r="BE187" s="12">
        <f t="shared" si="652"/>
        <v>0</v>
      </c>
      <c r="BF187" s="12">
        <f t="shared" si="653"/>
        <v>0</v>
      </c>
      <c r="BG187" s="12">
        <f t="shared" si="654"/>
        <v>0</v>
      </c>
      <c r="BH187" s="12">
        <f t="shared" si="655"/>
        <v>0</v>
      </c>
      <c r="BI187" s="12">
        <f t="shared" si="656"/>
        <v>0</v>
      </c>
      <c r="BJ187" s="12">
        <f t="shared" si="657"/>
        <v>0</v>
      </c>
      <c r="BK187" s="12">
        <f t="shared" si="658"/>
        <v>0</v>
      </c>
      <c r="BL187" s="12">
        <f t="shared" si="659"/>
        <v>0</v>
      </c>
      <c r="BM187" s="12">
        <f t="shared" si="660"/>
        <v>0</v>
      </c>
      <c r="BN187" s="12">
        <f t="shared" si="661"/>
        <v>0</v>
      </c>
      <c r="BO187" s="12">
        <f t="shared" si="662"/>
        <v>0</v>
      </c>
      <c r="BP187" s="12">
        <f t="shared" si="663"/>
        <v>0</v>
      </c>
      <c r="BQ187" s="12">
        <f t="shared" si="664"/>
        <v>0</v>
      </c>
      <c r="BR187" s="12">
        <f t="shared" si="665"/>
        <v>0</v>
      </c>
      <c r="BS187" s="12">
        <f t="shared" si="666"/>
        <v>0</v>
      </c>
      <c r="BT187" s="12">
        <f t="shared" si="667"/>
        <v>0</v>
      </c>
      <c r="BU187" s="12">
        <f t="shared" si="668"/>
        <v>0</v>
      </c>
      <c r="BV187" s="12">
        <f t="shared" si="669"/>
        <v>0</v>
      </c>
      <c r="BW187" s="12">
        <f t="shared" si="670"/>
        <v>0</v>
      </c>
      <c r="BX187" s="12">
        <f t="shared" si="671"/>
        <v>0</v>
      </c>
      <c r="BY187" s="12">
        <f t="shared" si="672"/>
        <v>0</v>
      </c>
      <c r="BZ187" s="12">
        <f t="shared" si="673"/>
        <v>0</v>
      </c>
      <c r="CA187" s="12">
        <f t="shared" si="674"/>
        <v>0</v>
      </c>
      <c r="CB187" s="12">
        <f t="shared" si="675"/>
        <v>0</v>
      </c>
      <c r="CC187" s="12">
        <f t="shared" si="676"/>
        <v>0</v>
      </c>
      <c r="CD187" s="12">
        <v>2</v>
      </c>
      <c r="CE187" s="17"/>
      <c r="CF187" s="17">
        <v>2</v>
      </c>
      <c r="CG187" s="17">
        <v>2</v>
      </c>
      <c r="CH187" s="17"/>
      <c r="CI187" s="17"/>
      <c r="CJ187" s="17"/>
      <c r="CK187" s="17"/>
      <c r="CL187" s="17"/>
      <c r="CM187" s="17"/>
      <c r="CN187" s="17">
        <v>2</v>
      </c>
      <c r="CO187" s="17"/>
      <c r="CP187" s="12"/>
      <c r="CQ187" s="17"/>
      <c r="CR187" s="17"/>
      <c r="CS187" s="17"/>
      <c r="CT187" s="17">
        <v>1</v>
      </c>
      <c r="CU187" s="17"/>
      <c r="CV187" s="12"/>
      <c r="CW187" s="17"/>
      <c r="CX187" s="17"/>
      <c r="CY187" s="17"/>
      <c r="CZ187" s="17"/>
      <c r="DA187" s="17"/>
      <c r="DB187" s="17"/>
      <c r="DC187" s="17"/>
      <c r="DD187" s="17"/>
      <c r="DE187" s="12"/>
      <c r="DF187" s="17"/>
      <c r="DG187" s="17"/>
      <c r="DH187" s="17"/>
      <c r="DI187" s="36">
        <f>(AT187+SUM(AU187:AX187)*5+SUM(AY187:CC187)-SUM(CD187:DH187))</f>
        <v>16</v>
      </c>
      <c r="DJ187" s="12">
        <f>DI187*1000</f>
        <v>16000</v>
      </c>
      <c r="DK187" s="12">
        <f t="shared" si="677"/>
        <v>6</v>
      </c>
      <c r="DL187" s="12">
        <f>DK187*1000</f>
        <v>6000</v>
      </c>
      <c r="DM187" s="12">
        <f t="shared" si="678"/>
        <v>2</v>
      </c>
      <c r="DN187" s="12">
        <f>DM187*1000</f>
        <v>2000</v>
      </c>
      <c r="DO187" s="12">
        <f t="shared" si="679"/>
        <v>1</v>
      </c>
      <c r="DP187" s="12">
        <f>DO187*1000</f>
        <v>1000</v>
      </c>
      <c r="DQ187" s="12">
        <f t="shared" si="680"/>
        <v>0</v>
      </c>
      <c r="DR187" s="12">
        <f>DQ187*1000</f>
        <v>0</v>
      </c>
      <c r="DS187" s="12">
        <f t="shared" si="681"/>
        <v>9</v>
      </c>
      <c r="DT187" s="12">
        <f>DS187*1000</f>
        <v>9000</v>
      </c>
    </row>
    <row r="188" spans="1:124" ht="14.25" customHeight="1">
      <c r="A188" s="30">
        <v>184</v>
      </c>
      <c r="B188" s="19" t="s">
        <v>215</v>
      </c>
      <c r="C188" s="14"/>
      <c r="D188" s="95"/>
      <c r="E188" s="56">
        <v>0</v>
      </c>
      <c r="F188" s="104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2">
        <f t="shared" si="380"/>
        <v>0</v>
      </c>
      <c r="AP188" s="12">
        <f>AO188*150</f>
        <v>0</v>
      </c>
      <c r="AQ188" s="12">
        <f t="shared" si="627"/>
        <v>750</v>
      </c>
      <c r="AR188" s="19"/>
      <c r="AS188" s="126">
        <f t="shared" si="573"/>
        <v>5</v>
      </c>
      <c r="AT188" s="56">
        <v>5</v>
      </c>
      <c r="AU188" s="50"/>
      <c r="AV188" s="12"/>
      <c r="AW188" s="12"/>
      <c r="AX188" s="12"/>
      <c r="AY188" s="12">
        <f t="shared" si="646"/>
        <v>0</v>
      </c>
      <c r="AZ188" s="12">
        <f t="shared" si="647"/>
        <v>0</v>
      </c>
      <c r="BA188" s="12">
        <f t="shared" si="648"/>
        <v>0</v>
      </c>
      <c r="BB188" s="12">
        <f t="shared" si="649"/>
        <v>0</v>
      </c>
      <c r="BC188" s="12">
        <f t="shared" si="650"/>
        <v>0</v>
      </c>
      <c r="BD188" s="12">
        <f t="shared" si="651"/>
        <v>0</v>
      </c>
      <c r="BE188" s="12">
        <f t="shared" si="652"/>
        <v>0</v>
      </c>
      <c r="BF188" s="12">
        <f t="shared" si="653"/>
        <v>0</v>
      </c>
      <c r="BG188" s="12">
        <f t="shared" si="654"/>
        <v>0</v>
      </c>
      <c r="BH188" s="12">
        <f t="shared" si="655"/>
        <v>0</v>
      </c>
      <c r="BI188" s="12">
        <f t="shared" si="656"/>
        <v>0</v>
      </c>
      <c r="BJ188" s="12">
        <f t="shared" si="657"/>
        <v>0</v>
      </c>
      <c r="BK188" s="12">
        <f t="shared" si="658"/>
        <v>0</v>
      </c>
      <c r="BL188" s="12">
        <f t="shared" si="659"/>
        <v>0</v>
      </c>
      <c r="BM188" s="12">
        <f t="shared" si="660"/>
        <v>0</v>
      </c>
      <c r="BN188" s="12">
        <f t="shared" si="661"/>
        <v>0</v>
      </c>
      <c r="BO188" s="12">
        <f t="shared" si="662"/>
        <v>0</v>
      </c>
      <c r="BP188" s="12">
        <f t="shared" si="663"/>
        <v>0</v>
      </c>
      <c r="BQ188" s="12">
        <f t="shared" si="664"/>
        <v>0</v>
      </c>
      <c r="BR188" s="12">
        <f t="shared" si="665"/>
        <v>0</v>
      </c>
      <c r="BS188" s="12">
        <f t="shared" si="666"/>
        <v>0</v>
      </c>
      <c r="BT188" s="12">
        <f t="shared" si="667"/>
        <v>0</v>
      </c>
      <c r="BU188" s="12">
        <f t="shared" si="668"/>
        <v>0</v>
      </c>
      <c r="BV188" s="12">
        <f t="shared" si="669"/>
        <v>0</v>
      </c>
      <c r="BW188" s="12">
        <f t="shared" si="670"/>
        <v>0</v>
      </c>
      <c r="BX188" s="12">
        <f t="shared" si="671"/>
        <v>0</v>
      </c>
      <c r="BY188" s="12">
        <f t="shared" si="672"/>
        <v>0</v>
      </c>
      <c r="BZ188" s="12">
        <f t="shared" si="673"/>
        <v>0</v>
      </c>
      <c r="CA188" s="12">
        <f t="shared" si="674"/>
        <v>0</v>
      </c>
      <c r="CB188" s="12">
        <f t="shared" si="675"/>
        <v>0</v>
      </c>
      <c r="CC188" s="12">
        <f t="shared" si="676"/>
        <v>0</v>
      </c>
      <c r="CD188" s="12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2"/>
      <c r="CQ188" s="19"/>
      <c r="CR188" s="19"/>
      <c r="CS188" s="19"/>
      <c r="CT188" s="19"/>
      <c r="CU188" s="19"/>
      <c r="CV188" s="12"/>
      <c r="CW188" s="19"/>
      <c r="CX188" s="19"/>
      <c r="CY188" s="19"/>
      <c r="CZ188" s="19"/>
      <c r="DA188" s="19"/>
      <c r="DB188" s="19"/>
      <c r="DC188" s="19"/>
      <c r="DD188" s="19"/>
      <c r="DE188" s="12"/>
      <c r="DF188" s="19"/>
      <c r="DG188" s="19"/>
      <c r="DH188" s="19"/>
      <c r="DI188" s="36">
        <f>(AT188+SUM(AU188:AX188)*150+SUM(AY188:CC188)-SUM(CD188:DH188))</f>
        <v>5</v>
      </c>
      <c r="DJ188" s="12">
        <f>DI188*150</f>
        <v>750</v>
      </c>
      <c r="DK188" s="12">
        <f t="shared" si="677"/>
        <v>0</v>
      </c>
      <c r="DL188" s="12">
        <f>DK188*150</f>
        <v>0</v>
      </c>
      <c r="DM188" s="12">
        <f t="shared" si="678"/>
        <v>0</v>
      </c>
      <c r="DN188" s="12">
        <f>DM188*150</f>
        <v>0</v>
      </c>
      <c r="DO188" s="12">
        <f t="shared" si="679"/>
        <v>0</v>
      </c>
      <c r="DP188" s="12">
        <f>DO188*150</f>
        <v>0</v>
      </c>
      <c r="DQ188" s="12">
        <f t="shared" si="680"/>
        <v>0</v>
      </c>
      <c r="DR188" s="12">
        <f>DQ188*150</f>
        <v>0</v>
      </c>
      <c r="DS188" s="12">
        <f t="shared" si="681"/>
        <v>0</v>
      </c>
      <c r="DT188" s="12">
        <f>DS188*150</f>
        <v>0</v>
      </c>
    </row>
    <row r="189" spans="1:124" ht="14.25" customHeight="1">
      <c r="A189" s="30">
        <v>185</v>
      </c>
      <c r="B189" s="26" t="s">
        <v>216</v>
      </c>
      <c r="C189" s="15" t="s">
        <v>32</v>
      </c>
      <c r="D189" s="95"/>
      <c r="E189" s="56">
        <v>0</v>
      </c>
      <c r="F189" s="104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2">
        <f t="shared" si="380"/>
        <v>0</v>
      </c>
      <c r="AP189" s="12">
        <f t="shared" ref="AP189:AP190" si="689">AO189*500</f>
        <v>0</v>
      </c>
      <c r="AQ189" s="12">
        <f t="shared" si="627"/>
        <v>500</v>
      </c>
      <c r="AR189" s="40" t="s">
        <v>369</v>
      </c>
      <c r="AS189" s="126">
        <f t="shared" si="573"/>
        <v>1</v>
      </c>
      <c r="AT189" s="56">
        <v>1</v>
      </c>
      <c r="AU189" s="50"/>
      <c r="AV189" s="12"/>
      <c r="AW189" s="12"/>
      <c r="AX189" s="12"/>
      <c r="AY189" s="12">
        <f t="shared" si="646"/>
        <v>0</v>
      </c>
      <c r="AZ189" s="12">
        <f t="shared" si="647"/>
        <v>0</v>
      </c>
      <c r="BA189" s="12">
        <f t="shared" si="648"/>
        <v>0</v>
      </c>
      <c r="BB189" s="12">
        <f t="shared" si="649"/>
        <v>0</v>
      </c>
      <c r="BC189" s="12">
        <f t="shared" si="650"/>
        <v>0</v>
      </c>
      <c r="BD189" s="12">
        <f t="shared" si="651"/>
        <v>0</v>
      </c>
      <c r="BE189" s="12">
        <f t="shared" si="652"/>
        <v>0</v>
      </c>
      <c r="BF189" s="12">
        <f t="shared" si="653"/>
        <v>0</v>
      </c>
      <c r="BG189" s="12">
        <f t="shared" si="654"/>
        <v>0</v>
      </c>
      <c r="BH189" s="12">
        <f t="shared" si="655"/>
        <v>0</v>
      </c>
      <c r="BI189" s="12">
        <f t="shared" si="656"/>
        <v>0</v>
      </c>
      <c r="BJ189" s="12">
        <f t="shared" si="657"/>
        <v>0</v>
      </c>
      <c r="BK189" s="12">
        <f t="shared" si="658"/>
        <v>0</v>
      </c>
      <c r="BL189" s="12">
        <f t="shared" si="659"/>
        <v>0</v>
      </c>
      <c r="BM189" s="12">
        <f t="shared" si="660"/>
        <v>0</v>
      </c>
      <c r="BN189" s="12">
        <f t="shared" si="661"/>
        <v>0</v>
      </c>
      <c r="BO189" s="12">
        <f t="shared" si="662"/>
        <v>0</v>
      </c>
      <c r="BP189" s="12">
        <f t="shared" si="663"/>
        <v>0</v>
      </c>
      <c r="BQ189" s="12">
        <f t="shared" si="664"/>
        <v>0</v>
      </c>
      <c r="BR189" s="12">
        <f t="shared" si="665"/>
        <v>0</v>
      </c>
      <c r="BS189" s="12">
        <f t="shared" si="666"/>
        <v>0</v>
      </c>
      <c r="BT189" s="12">
        <f t="shared" si="667"/>
        <v>0</v>
      </c>
      <c r="BU189" s="12">
        <f t="shared" si="668"/>
        <v>0</v>
      </c>
      <c r="BV189" s="12">
        <f t="shared" si="669"/>
        <v>0</v>
      </c>
      <c r="BW189" s="12">
        <f t="shared" si="670"/>
        <v>0</v>
      </c>
      <c r="BX189" s="12">
        <f t="shared" si="671"/>
        <v>0</v>
      </c>
      <c r="BY189" s="12">
        <f t="shared" si="672"/>
        <v>0</v>
      </c>
      <c r="BZ189" s="12">
        <f t="shared" si="673"/>
        <v>0</v>
      </c>
      <c r="CA189" s="12">
        <f t="shared" si="674"/>
        <v>0</v>
      </c>
      <c r="CB189" s="12">
        <f t="shared" si="675"/>
        <v>0</v>
      </c>
      <c r="CC189" s="12">
        <f t="shared" si="676"/>
        <v>0</v>
      </c>
      <c r="CD189" s="12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2"/>
      <c r="CQ189" s="19"/>
      <c r="CR189" s="19"/>
      <c r="CS189" s="19"/>
      <c r="CT189" s="19"/>
      <c r="CU189" s="19"/>
      <c r="CV189" s="12"/>
      <c r="CW189" s="19"/>
      <c r="CX189" s="19"/>
      <c r="CY189" s="19"/>
      <c r="CZ189" s="19"/>
      <c r="DA189" s="19"/>
      <c r="DB189" s="19"/>
      <c r="DC189" s="19"/>
      <c r="DD189" s="19"/>
      <c r="DE189" s="12"/>
      <c r="DF189" s="19"/>
      <c r="DG189" s="19"/>
      <c r="DH189" s="19"/>
      <c r="DI189" s="36">
        <f>(AT189+SUM(AU189:AX189)+SUM(AY189:CC189)-SUM(CD189:DH189))</f>
        <v>1</v>
      </c>
      <c r="DJ189" s="12">
        <f t="shared" ref="DJ189:DJ190" si="690">DI189*500</f>
        <v>500</v>
      </c>
      <c r="DK189" s="12">
        <f t="shared" si="677"/>
        <v>0</v>
      </c>
      <c r="DL189" s="12">
        <f t="shared" ref="DL189:DL190" si="691">DK189*500</f>
        <v>0</v>
      </c>
      <c r="DM189" s="12">
        <f t="shared" si="678"/>
        <v>0</v>
      </c>
      <c r="DN189" s="12">
        <f t="shared" ref="DN189:DN190" si="692">DM189*500</f>
        <v>0</v>
      </c>
      <c r="DO189" s="12">
        <f t="shared" si="679"/>
        <v>0</v>
      </c>
      <c r="DP189" s="12">
        <f t="shared" ref="DP189:DP190" si="693">DO189*500</f>
        <v>0</v>
      </c>
      <c r="DQ189" s="12">
        <f t="shared" si="680"/>
        <v>0</v>
      </c>
      <c r="DR189" s="12">
        <f t="shared" ref="DR189:DR190" si="694">DQ189*500</f>
        <v>0</v>
      </c>
      <c r="DS189" s="12">
        <f t="shared" si="681"/>
        <v>0</v>
      </c>
      <c r="DT189" s="12">
        <f t="shared" ref="DT189:DT190" si="695">DS189*500</f>
        <v>0</v>
      </c>
    </row>
    <row r="190" spans="1:124" ht="14.25" customHeight="1">
      <c r="A190" s="30">
        <v>186</v>
      </c>
      <c r="B190" s="26" t="s">
        <v>217</v>
      </c>
      <c r="C190" s="15" t="s">
        <v>32</v>
      </c>
      <c r="D190" s="95"/>
      <c r="E190" s="56">
        <v>0</v>
      </c>
      <c r="F190" s="104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2">
        <f t="shared" si="380"/>
        <v>0</v>
      </c>
      <c r="AP190" s="12">
        <f t="shared" si="689"/>
        <v>0</v>
      </c>
      <c r="AQ190" s="12">
        <f t="shared" si="627"/>
        <v>0</v>
      </c>
      <c r="AR190" s="94" t="s">
        <v>382</v>
      </c>
      <c r="AS190" s="127">
        <f t="shared" si="573"/>
        <v>0</v>
      </c>
      <c r="AT190" s="56">
        <v>7</v>
      </c>
      <c r="AU190" s="50"/>
      <c r="AV190" s="12"/>
      <c r="AW190" s="12"/>
      <c r="AX190" s="12"/>
      <c r="AY190" s="12">
        <f t="shared" si="646"/>
        <v>0</v>
      </c>
      <c r="AZ190" s="12">
        <f t="shared" si="647"/>
        <v>0</v>
      </c>
      <c r="BA190" s="12">
        <f t="shared" si="648"/>
        <v>0</v>
      </c>
      <c r="BB190" s="12">
        <f t="shared" si="649"/>
        <v>0</v>
      </c>
      <c r="BC190" s="12">
        <f t="shared" si="650"/>
        <v>0</v>
      </c>
      <c r="BD190" s="12">
        <f t="shared" si="651"/>
        <v>0</v>
      </c>
      <c r="BE190" s="12">
        <f t="shared" si="652"/>
        <v>0</v>
      </c>
      <c r="BF190" s="12">
        <f t="shared" si="653"/>
        <v>0</v>
      </c>
      <c r="BG190" s="12">
        <f t="shared" si="654"/>
        <v>0</v>
      </c>
      <c r="BH190" s="12">
        <f t="shared" si="655"/>
        <v>0</v>
      </c>
      <c r="BI190" s="12">
        <f t="shared" si="656"/>
        <v>0</v>
      </c>
      <c r="BJ190" s="12">
        <f t="shared" si="657"/>
        <v>0</v>
      </c>
      <c r="BK190" s="12">
        <f t="shared" si="658"/>
        <v>0</v>
      </c>
      <c r="BL190" s="12">
        <f t="shared" si="659"/>
        <v>0</v>
      </c>
      <c r="BM190" s="12">
        <f t="shared" si="660"/>
        <v>0</v>
      </c>
      <c r="BN190" s="12">
        <f t="shared" si="661"/>
        <v>0</v>
      </c>
      <c r="BO190" s="12">
        <f t="shared" si="662"/>
        <v>0</v>
      </c>
      <c r="BP190" s="12">
        <f t="shared" si="663"/>
        <v>0</v>
      </c>
      <c r="BQ190" s="12">
        <f t="shared" si="664"/>
        <v>0</v>
      </c>
      <c r="BR190" s="12">
        <f t="shared" si="665"/>
        <v>0</v>
      </c>
      <c r="BS190" s="12">
        <f t="shared" si="666"/>
        <v>0</v>
      </c>
      <c r="BT190" s="12">
        <f t="shared" si="667"/>
        <v>0</v>
      </c>
      <c r="BU190" s="12">
        <f t="shared" si="668"/>
        <v>0</v>
      </c>
      <c r="BV190" s="12">
        <f t="shared" si="669"/>
        <v>0</v>
      </c>
      <c r="BW190" s="12">
        <f t="shared" si="670"/>
        <v>0</v>
      </c>
      <c r="BX190" s="12">
        <f t="shared" si="671"/>
        <v>0</v>
      </c>
      <c r="BY190" s="12">
        <f t="shared" si="672"/>
        <v>0</v>
      </c>
      <c r="BZ190" s="12">
        <f t="shared" si="673"/>
        <v>0</v>
      </c>
      <c r="CA190" s="12">
        <f t="shared" si="674"/>
        <v>0</v>
      </c>
      <c r="CB190" s="12">
        <f t="shared" si="675"/>
        <v>0</v>
      </c>
      <c r="CC190" s="12">
        <f t="shared" si="676"/>
        <v>0</v>
      </c>
      <c r="CD190" s="12">
        <v>3</v>
      </c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>
        <v>4</v>
      </c>
      <c r="CP190" s="12"/>
      <c r="CQ190" s="19"/>
      <c r="CR190" s="19"/>
      <c r="CS190" s="19"/>
      <c r="CT190" s="19"/>
      <c r="CU190" s="19"/>
      <c r="CV190" s="12"/>
      <c r="CW190" s="19"/>
      <c r="CX190" s="19"/>
      <c r="CY190" s="19"/>
      <c r="CZ190" s="19"/>
      <c r="DA190" s="19"/>
      <c r="DB190" s="19"/>
      <c r="DC190" s="19"/>
      <c r="DD190" s="19"/>
      <c r="DE190" s="12"/>
      <c r="DF190" s="19"/>
      <c r="DG190" s="19"/>
      <c r="DH190" s="19"/>
      <c r="DI190" s="36">
        <f>(AT190+SUM(AU190:AX190)+SUM(AY190:CC190)-SUM(CD190:DH190))</f>
        <v>0</v>
      </c>
      <c r="DJ190" s="12">
        <f t="shared" si="690"/>
        <v>0</v>
      </c>
      <c r="DK190" s="12">
        <f t="shared" si="677"/>
        <v>3</v>
      </c>
      <c r="DL190" s="12">
        <f t="shared" si="691"/>
        <v>1500</v>
      </c>
      <c r="DM190" s="12">
        <f t="shared" si="678"/>
        <v>4</v>
      </c>
      <c r="DN190" s="12">
        <f t="shared" si="692"/>
        <v>2000</v>
      </c>
      <c r="DO190" s="12">
        <f t="shared" si="679"/>
        <v>0</v>
      </c>
      <c r="DP190" s="12">
        <f t="shared" si="693"/>
        <v>0</v>
      </c>
      <c r="DQ190" s="12">
        <f t="shared" si="680"/>
        <v>0</v>
      </c>
      <c r="DR190" s="12">
        <f t="shared" si="694"/>
        <v>0</v>
      </c>
      <c r="DS190" s="12">
        <f t="shared" si="681"/>
        <v>7</v>
      </c>
      <c r="DT190" s="12">
        <f t="shared" si="695"/>
        <v>3500</v>
      </c>
    </row>
    <row r="191" spans="1:124" ht="14.25" customHeight="1">
      <c r="A191" s="30">
        <v>187</v>
      </c>
      <c r="B191" s="26" t="s">
        <v>218</v>
      </c>
      <c r="C191" s="15" t="s">
        <v>32</v>
      </c>
      <c r="D191" s="97" t="s">
        <v>55</v>
      </c>
      <c r="E191" s="56">
        <v>0</v>
      </c>
      <c r="F191" s="104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2">
        <f t="shared" si="380"/>
        <v>0</v>
      </c>
      <c r="AP191" s="12">
        <f>AO191*13</f>
        <v>0</v>
      </c>
      <c r="AQ191" s="48">
        <f t="shared" si="627"/>
        <v>3120</v>
      </c>
      <c r="AR191" s="93" t="s">
        <v>370</v>
      </c>
      <c r="AS191" s="128">
        <f t="shared" si="573"/>
        <v>240</v>
      </c>
      <c r="AT191" s="56">
        <v>240</v>
      </c>
      <c r="AU191" s="50"/>
      <c r="AV191" s="12"/>
      <c r="AW191" s="12"/>
      <c r="AX191" s="12"/>
      <c r="AY191" s="12">
        <f t="shared" si="646"/>
        <v>0</v>
      </c>
      <c r="AZ191" s="12">
        <f t="shared" si="647"/>
        <v>0</v>
      </c>
      <c r="BA191" s="12">
        <f t="shared" si="648"/>
        <v>0</v>
      </c>
      <c r="BB191" s="12">
        <f t="shared" si="649"/>
        <v>0</v>
      </c>
      <c r="BC191" s="12">
        <f t="shared" si="650"/>
        <v>0</v>
      </c>
      <c r="BD191" s="12">
        <f t="shared" si="651"/>
        <v>0</v>
      </c>
      <c r="BE191" s="12">
        <f t="shared" si="652"/>
        <v>0</v>
      </c>
      <c r="BF191" s="12">
        <f t="shared" si="653"/>
        <v>0</v>
      </c>
      <c r="BG191" s="12">
        <f t="shared" si="654"/>
        <v>0</v>
      </c>
      <c r="BH191" s="12">
        <f t="shared" si="655"/>
        <v>0</v>
      </c>
      <c r="BI191" s="12">
        <f t="shared" si="656"/>
        <v>0</v>
      </c>
      <c r="BJ191" s="12">
        <f t="shared" si="657"/>
        <v>0</v>
      </c>
      <c r="BK191" s="12">
        <f t="shared" si="658"/>
        <v>0</v>
      </c>
      <c r="BL191" s="12">
        <f t="shared" si="659"/>
        <v>0</v>
      </c>
      <c r="BM191" s="12">
        <f t="shared" si="660"/>
        <v>0</v>
      </c>
      <c r="BN191" s="12">
        <f t="shared" si="661"/>
        <v>0</v>
      </c>
      <c r="BO191" s="12">
        <f t="shared" si="662"/>
        <v>0</v>
      </c>
      <c r="BP191" s="12">
        <f t="shared" si="663"/>
        <v>0</v>
      </c>
      <c r="BQ191" s="12">
        <f t="shared" si="664"/>
        <v>0</v>
      </c>
      <c r="BR191" s="12">
        <f t="shared" si="665"/>
        <v>0</v>
      </c>
      <c r="BS191" s="12">
        <f t="shared" si="666"/>
        <v>0</v>
      </c>
      <c r="BT191" s="12">
        <f t="shared" si="667"/>
        <v>0</v>
      </c>
      <c r="BU191" s="12">
        <f t="shared" si="668"/>
        <v>0</v>
      </c>
      <c r="BV191" s="12">
        <f t="shared" si="669"/>
        <v>0</v>
      </c>
      <c r="BW191" s="12">
        <f t="shared" si="670"/>
        <v>0</v>
      </c>
      <c r="BX191" s="12">
        <f t="shared" si="671"/>
        <v>0</v>
      </c>
      <c r="BY191" s="12">
        <f t="shared" si="672"/>
        <v>0</v>
      </c>
      <c r="BZ191" s="12">
        <f t="shared" si="673"/>
        <v>0</v>
      </c>
      <c r="CA191" s="12">
        <f t="shared" si="674"/>
        <v>0</v>
      </c>
      <c r="CB191" s="12">
        <f t="shared" si="675"/>
        <v>0</v>
      </c>
      <c r="CC191" s="12">
        <f t="shared" si="676"/>
        <v>0</v>
      </c>
      <c r="CD191" s="12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2"/>
      <c r="CQ191" s="19"/>
      <c r="CR191" s="19"/>
      <c r="CS191" s="19"/>
      <c r="CT191" s="19"/>
      <c r="CU191" s="19"/>
      <c r="CV191" s="12"/>
      <c r="CW191" s="19"/>
      <c r="CX191" s="19"/>
      <c r="CY191" s="19"/>
      <c r="CZ191" s="19"/>
      <c r="DA191" s="19"/>
      <c r="DB191" s="19"/>
      <c r="DC191" s="19"/>
      <c r="DD191" s="19"/>
      <c r="DE191" s="12"/>
      <c r="DF191" s="19"/>
      <c r="DG191" s="19"/>
      <c r="DH191" s="19"/>
      <c r="DI191" s="36">
        <f>(AT191+SUM(AU191:AX191)+SUM(AY191:CC191)-SUM(CD191:DH191))</f>
        <v>240</v>
      </c>
      <c r="DJ191" s="12">
        <f>DI191*13</f>
        <v>3120</v>
      </c>
      <c r="DK191" s="12">
        <f t="shared" si="677"/>
        <v>0</v>
      </c>
      <c r="DL191" s="12">
        <f>DK191*13</f>
        <v>0</v>
      </c>
      <c r="DM191" s="12">
        <f t="shared" si="678"/>
        <v>0</v>
      </c>
      <c r="DN191" s="12">
        <f>DM191*13</f>
        <v>0</v>
      </c>
      <c r="DO191" s="12">
        <f t="shared" si="679"/>
        <v>0</v>
      </c>
      <c r="DP191" s="12">
        <f>DO191*13</f>
        <v>0</v>
      </c>
      <c r="DQ191" s="12">
        <f t="shared" si="680"/>
        <v>0</v>
      </c>
      <c r="DR191" s="12">
        <f>DQ191*13</f>
        <v>0</v>
      </c>
      <c r="DS191" s="12">
        <f t="shared" si="681"/>
        <v>0</v>
      </c>
      <c r="DT191" s="12">
        <f>DS191*13</f>
        <v>0</v>
      </c>
    </row>
    <row r="192" spans="1:124" ht="14.25" customHeight="1">
      <c r="B192" s="22"/>
      <c r="C192" s="22"/>
      <c r="F192" s="52"/>
      <c r="G192" s="52"/>
    </row>
    <row r="193" spans="1:49" ht="14.25" customHeight="1">
      <c r="A193" s="157" t="s">
        <v>5</v>
      </c>
      <c r="B193" s="71" t="s">
        <v>219</v>
      </c>
      <c r="C193" s="201" t="s">
        <v>339</v>
      </c>
      <c r="D193" s="201"/>
      <c r="E193" s="166" t="s">
        <v>371</v>
      </c>
      <c r="F193" s="163" t="s">
        <v>305</v>
      </c>
      <c r="G193" s="164"/>
      <c r="H193" s="164"/>
      <c r="I193" s="164"/>
      <c r="J193" s="164"/>
      <c r="M193" s="148" t="s">
        <v>383</v>
      </c>
      <c r="N193" s="149"/>
      <c r="O193" s="149"/>
      <c r="P193" s="150"/>
      <c r="AP193" s="169" t="s">
        <v>105</v>
      </c>
      <c r="AQ193" s="169"/>
      <c r="AR193" s="170" t="s">
        <v>305</v>
      </c>
      <c r="AS193" s="170"/>
      <c r="AT193" s="170"/>
      <c r="AU193" s="170"/>
      <c r="AV193" s="170"/>
      <c r="AW193" s="170"/>
    </row>
    <row r="194" spans="1:49" ht="14.25" customHeight="1">
      <c r="A194" s="158"/>
      <c r="B194" s="72" t="s">
        <v>220</v>
      </c>
      <c r="C194" s="201" t="s">
        <v>359</v>
      </c>
      <c r="D194" s="201"/>
      <c r="E194" s="166"/>
      <c r="F194" s="57" t="s">
        <v>18</v>
      </c>
      <c r="G194" s="57" t="s">
        <v>19</v>
      </c>
      <c r="H194" s="57" t="s">
        <v>20</v>
      </c>
      <c r="I194" s="57" t="s">
        <v>21</v>
      </c>
      <c r="J194" s="115" t="s">
        <v>374</v>
      </c>
      <c r="M194" s="115" t="s">
        <v>283</v>
      </c>
      <c r="N194" s="114" t="s">
        <v>284</v>
      </c>
      <c r="O194" s="114" t="s">
        <v>20</v>
      </c>
      <c r="P194" s="114" t="s">
        <v>21</v>
      </c>
      <c r="AP194" s="120" t="s">
        <v>220</v>
      </c>
      <c r="AQ194" s="121" t="s">
        <v>306</v>
      </c>
      <c r="AR194" s="129" t="s">
        <v>379</v>
      </c>
      <c r="AS194" s="124" t="s">
        <v>283</v>
      </c>
      <c r="AT194" s="124" t="s">
        <v>284</v>
      </c>
      <c r="AU194" s="124" t="s">
        <v>20</v>
      </c>
      <c r="AV194" s="124" t="s">
        <v>21</v>
      </c>
      <c r="AW194" s="122" t="s">
        <v>374</v>
      </c>
    </row>
    <row r="195" spans="1:49" ht="14.25" customHeight="1">
      <c r="A195" s="48">
        <v>1</v>
      </c>
      <c r="B195" s="73" t="s">
        <v>221</v>
      </c>
      <c r="C195" s="70"/>
      <c r="D195" s="61">
        <f>AS103</f>
        <v>0</v>
      </c>
      <c r="E195" s="106">
        <v>5</v>
      </c>
      <c r="F195" s="45">
        <f>DK103</f>
        <v>1</v>
      </c>
      <c r="G195" s="45">
        <f>DM103</f>
        <v>1</v>
      </c>
      <c r="H195" s="45">
        <f>DO103</f>
        <v>2</v>
      </c>
      <c r="I195" s="45">
        <f>DQ103</f>
        <v>0</v>
      </c>
      <c r="J195" s="56">
        <f>SUM(F195:I195)</f>
        <v>4</v>
      </c>
      <c r="M195" s="47"/>
      <c r="N195" s="47"/>
      <c r="O195" s="47"/>
      <c r="P195" s="47"/>
      <c r="AP195" s="123" t="s">
        <v>307</v>
      </c>
      <c r="AQ195" s="123" t="s">
        <v>308</v>
      </c>
      <c r="AR195" s="129"/>
      <c r="AS195" s="125">
        <f>DL124</f>
        <v>0</v>
      </c>
      <c r="AT195" s="125">
        <f>DN124</f>
        <v>200</v>
      </c>
      <c r="AU195" s="125">
        <f>DP124</f>
        <v>0</v>
      </c>
      <c r="AV195" s="125">
        <f>DR124</f>
        <v>0</v>
      </c>
      <c r="AW195" s="123">
        <f>SUM(AS195:AV195)</f>
        <v>200</v>
      </c>
    </row>
    <row r="196" spans="1:49" ht="14.25" customHeight="1">
      <c r="A196" s="48">
        <v>2</v>
      </c>
      <c r="B196" s="73" t="s">
        <v>141</v>
      </c>
      <c r="C196" s="70"/>
      <c r="D196" s="61">
        <f>AS106</f>
        <v>3</v>
      </c>
      <c r="E196" s="106">
        <v>1</v>
      </c>
      <c r="F196" s="45">
        <f>DK106</f>
        <v>0</v>
      </c>
      <c r="G196" s="45">
        <f>DM106</f>
        <v>1</v>
      </c>
      <c r="H196" s="45">
        <f>DO106</f>
        <v>3</v>
      </c>
      <c r="I196" s="45">
        <f>DQ106</f>
        <v>0</v>
      </c>
      <c r="J196" s="56">
        <f t="shared" ref="J196:J204" si="696">SUM(F196:I196)</f>
        <v>4</v>
      </c>
      <c r="M196" s="47"/>
      <c r="N196" s="47"/>
      <c r="O196" s="47"/>
      <c r="P196" s="47"/>
      <c r="AP196" s="123" t="s">
        <v>309</v>
      </c>
      <c r="AQ196" s="123" t="s">
        <v>308</v>
      </c>
      <c r="AR196" s="129"/>
      <c r="AS196" s="125">
        <f>DL123</f>
        <v>300</v>
      </c>
      <c r="AT196" s="125">
        <f>DN123</f>
        <v>400</v>
      </c>
      <c r="AU196" s="125">
        <f>DP123</f>
        <v>0</v>
      </c>
      <c r="AV196" s="125">
        <f>DR123</f>
        <v>0</v>
      </c>
      <c r="AW196" s="123">
        <f t="shared" ref="AW196:AW219" si="697">SUM(AS196:AV196)</f>
        <v>700</v>
      </c>
    </row>
    <row r="197" spans="1:49" ht="14.25" customHeight="1">
      <c r="A197" s="48">
        <v>3</v>
      </c>
      <c r="B197" s="73" t="s">
        <v>140</v>
      </c>
      <c r="C197" s="70"/>
      <c r="D197" s="61">
        <f>AS105</f>
        <v>1</v>
      </c>
      <c r="E197" s="106">
        <v>1</v>
      </c>
      <c r="F197" s="45">
        <f>DK105</f>
        <v>1</v>
      </c>
      <c r="G197" s="45">
        <f>DM105</f>
        <v>1</v>
      </c>
      <c r="H197" s="45">
        <f>DO105</f>
        <v>3</v>
      </c>
      <c r="I197" s="45">
        <f>DQ105</f>
        <v>0</v>
      </c>
      <c r="J197" s="56">
        <f t="shared" si="696"/>
        <v>5</v>
      </c>
      <c r="M197" s="47"/>
      <c r="N197" s="47"/>
      <c r="O197" s="47"/>
      <c r="P197" s="47"/>
      <c r="AP197" s="123" t="s">
        <v>310</v>
      </c>
      <c r="AQ197" s="123" t="s">
        <v>311</v>
      </c>
      <c r="AR197" s="129"/>
      <c r="AS197" s="125">
        <f>DL6</f>
        <v>285000</v>
      </c>
      <c r="AT197" s="125">
        <f>DN6</f>
        <v>165000</v>
      </c>
      <c r="AU197" s="125">
        <f>DP6</f>
        <v>15000</v>
      </c>
      <c r="AV197" s="125">
        <f>DR6</f>
        <v>0</v>
      </c>
      <c r="AW197" s="123">
        <f t="shared" si="697"/>
        <v>465000</v>
      </c>
    </row>
    <row r="198" spans="1:49" ht="14.25" customHeight="1">
      <c r="A198" s="48">
        <v>4</v>
      </c>
      <c r="B198" s="73" t="s">
        <v>127</v>
      </c>
      <c r="C198" s="70"/>
      <c r="D198" s="61">
        <f>AS92</f>
        <v>2</v>
      </c>
      <c r="E198" s="106"/>
      <c r="F198" s="45">
        <f>DK92</f>
        <v>2</v>
      </c>
      <c r="G198" s="45">
        <f>DM92</f>
        <v>2</v>
      </c>
      <c r="H198" s="45">
        <f>DO92</f>
        <v>1</v>
      </c>
      <c r="I198" s="45">
        <f>DQ92</f>
        <v>0</v>
      </c>
      <c r="J198" s="56">
        <f t="shared" si="696"/>
        <v>5</v>
      </c>
      <c r="M198" s="47"/>
      <c r="N198" s="47"/>
      <c r="O198" s="47"/>
      <c r="P198" s="47"/>
      <c r="AP198" s="123" t="s">
        <v>312</v>
      </c>
      <c r="AQ198" s="123" t="s">
        <v>308</v>
      </c>
      <c r="AR198" s="129"/>
      <c r="AS198" s="125">
        <f>DL138</f>
        <v>3500</v>
      </c>
      <c r="AT198" s="125">
        <f>DN138</f>
        <v>500</v>
      </c>
      <c r="AU198" s="125">
        <f>DP138</f>
        <v>0</v>
      </c>
      <c r="AV198" s="125">
        <f>DR138</f>
        <v>0</v>
      </c>
      <c r="AW198" s="123">
        <f t="shared" si="697"/>
        <v>4000</v>
      </c>
    </row>
    <row r="199" spans="1:49" ht="14.25" customHeight="1">
      <c r="A199" s="48">
        <v>5</v>
      </c>
      <c r="B199" s="73" t="s">
        <v>222</v>
      </c>
      <c r="C199" s="70"/>
      <c r="D199" s="61">
        <f>AS91</f>
        <v>2</v>
      </c>
      <c r="E199" s="106"/>
      <c r="F199" s="45">
        <f>DK91</f>
        <v>2</v>
      </c>
      <c r="G199" s="45">
        <f>DM91</f>
        <v>2</v>
      </c>
      <c r="H199" s="45">
        <f>DO91</f>
        <v>2</v>
      </c>
      <c r="I199" s="45">
        <f>DQ91</f>
        <v>0</v>
      </c>
      <c r="J199" s="56">
        <f t="shared" si="696"/>
        <v>6</v>
      </c>
      <c r="M199" s="47"/>
      <c r="N199" s="47"/>
      <c r="O199" s="47"/>
      <c r="P199" s="47"/>
      <c r="AP199" s="123" t="s">
        <v>313</v>
      </c>
      <c r="AQ199" s="123" t="s">
        <v>308</v>
      </c>
      <c r="AR199" s="129"/>
      <c r="AS199" s="125">
        <f>DL137</f>
        <v>1000</v>
      </c>
      <c r="AT199" s="125">
        <f>DN137</f>
        <v>0</v>
      </c>
      <c r="AU199" s="125">
        <f>DP137</f>
        <v>0</v>
      </c>
      <c r="AV199" s="125">
        <f>DR137</f>
        <v>0</v>
      </c>
      <c r="AW199" s="123">
        <f t="shared" si="697"/>
        <v>1000</v>
      </c>
    </row>
    <row r="200" spans="1:49" ht="14.25" customHeight="1">
      <c r="A200" s="48">
        <v>6</v>
      </c>
      <c r="B200" s="73" t="s">
        <v>223</v>
      </c>
      <c r="C200" s="70"/>
      <c r="D200" s="61">
        <f>AS88</f>
        <v>1</v>
      </c>
      <c r="E200" s="106"/>
      <c r="F200" s="45">
        <f>DK88</f>
        <v>1</v>
      </c>
      <c r="G200" s="45">
        <f>DM88</f>
        <v>1</v>
      </c>
      <c r="H200" s="45">
        <f>DO88</f>
        <v>0</v>
      </c>
      <c r="I200" s="45">
        <f>DQ88</f>
        <v>0</v>
      </c>
      <c r="J200" s="56">
        <f t="shared" si="696"/>
        <v>2</v>
      </c>
      <c r="M200" s="47"/>
      <c r="N200" s="47"/>
      <c r="O200" s="47"/>
      <c r="P200" s="47"/>
      <c r="AP200" s="123" t="s">
        <v>314</v>
      </c>
      <c r="AQ200" s="123" t="s">
        <v>308</v>
      </c>
      <c r="AR200" s="129"/>
      <c r="AS200" s="125">
        <f>DL125</f>
        <v>0</v>
      </c>
      <c r="AT200" s="125">
        <f>DN125</f>
        <v>0</v>
      </c>
      <c r="AU200" s="125">
        <f>DP125</f>
        <v>0</v>
      </c>
      <c r="AV200" s="125">
        <f>DR125</f>
        <v>0</v>
      </c>
      <c r="AW200" s="123">
        <f t="shared" si="697"/>
        <v>0</v>
      </c>
    </row>
    <row r="201" spans="1:49" ht="14.25" customHeight="1">
      <c r="A201" s="48">
        <v>7</v>
      </c>
      <c r="B201" s="73" t="s">
        <v>224</v>
      </c>
      <c r="C201" s="70"/>
      <c r="D201" s="61"/>
      <c r="E201" s="106"/>
      <c r="F201" s="45"/>
      <c r="G201" s="45"/>
      <c r="H201" s="45"/>
      <c r="I201" s="45"/>
      <c r="J201" s="56">
        <f t="shared" si="696"/>
        <v>0</v>
      </c>
      <c r="M201" s="47"/>
      <c r="N201" s="47"/>
      <c r="O201" s="47"/>
      <c r="P201" s="47"/>
      <c r="AP201" s="123" t="s">
        <v>315</v>
      </c>
      <c r="AQ201" s="123" t="s">
        <v>308</v>
      </c>
      <c r="AR201" s="129"/>
      <c r="AS201" s="125">
        <f>DL140</f>
        <v>25</v>
      </c>
      <c r="AT201" s="125">
        <f>DN140</f>
        <v>25</v>
      </c>
      <c r="AU201" s="125">
        <f>DP140</f>
        <v>0</v>
      </c>
      <c r="AV201" s="125">
        <f>DR140</f>
        <v>0</v>
      </c>
      <c r="AW201" s="123">
        <f t="shared" si="697"/>
        <v>50</v>
      </c>
    </row>
    <row r="202" spans="1:49" ht="14.25" customHeight="1">
      <c r="A202" s="48">
        <v>8</v>
      </c>
      <c r="B202" s="73" t="s">
        <v>225</v>
      </c>
      <c r="C202" s="70"/>
      <c r="D202" s="61">
        <f>AS99</f>
        <v>1</v>
      </c>
      <c r="E202" s="106"/>
      <c r="F202" s="45">
        <f>DK99</f>
        <v>3</v>
      </c>
      <c r="G202" s="45">
        <f>DM99</f>
        <v>2</v>
      </c>
      <c r="H202" s="45">
        <f>DO99</f>
        <v>1</v>
      </c>
      <c r="I202" s="45">
        <f>DQ99</f>
        <v>0</v>
      </c>
      <c r="J202" s="56">
        <f t="shared" si="696"/>
        <v>6</v>
      </c>
      <c r="M202" s="47"/>
      <c r="N202" s="47"/>
      <c r="O202" s="47"/>
      <c r="P202" s="47"/>
      <c r="AP202" s="123" t="s">
        <v>316</v>
      </c>
      <c r="AQ202" s="123" t="s">
        <v>308</v>
      </c>
      <c r="AR202" s="129"/>
      <c r="AS202" s="125">
        <f>DL185</f>
        <v>0</v>
      </c>
      <c r="AT202" s="125">
        <f>DN185</f>
        <v>0</v>
      </c>
      <c r="AU202" s="125">
        <f>DP185</f>
        <v>0</v>
      </c>
      <c r="AV202" s="125">
        <f>DR185</f>
        <v>0</v>
      </c>
      <c r="AW202" s="123">
        <f t="shared" si="697"/>
        <v>0</v>
      </c>
    </row>
    <row r="203" spans="1:49" ht="14.25" customHeight="1">
      <c r="A203" s="48">
        <v>9</v>
      </c>
      <c r="B203" s="73" t="s">
        <v>226</v>
      </c>
      <c r="C203" s="70"/>
      <c r="D203" s="61">
        <f>AS100</f>
        <v>11</v>
      </c>
      <c r="E203" s="106"/>
      <c r="F203" s="45">
        <f>DK100</f>
        <v>2</v>
      </c>
      <c r="G203" s="45">
        <f>DM100</f>
        <v>4</v>
      </c>
      <c r="H203" s="45">
        <f>DO100</f>
        <v>1</v>
      </c>
      <c r="I203" s="45">
        <f>DQ100</f>
        <v>0</v>
      </c>
      <c r="J203" s="56">
        <f t="shared" si="696"/>
        <v>7</v>
      </c>
      <c r="M203" s="47"/>
      <c r="N203" s="47"/>
      <c r="O203" s="47"/>
      <c r="P203" s="47"/>
      <c r="AP203" s="123" t="s">
        <v>317</v>
      </c>
      <c r="AQ203" s="123" t="s">
        <v>308</v>
      </c>
      <c r="AR203" s="129"/>
      <c r="AS203" s="125">
        <f>DL184</f>
        <v>0</v>
      </c>
      <c r="AT203" s="125">
        <f>DN184</f>
        <v>0</v>
      </c>
      <c r="AU203" s="125">
        <f>DP184</f>
        <v>0</v>
      </c>
      <c r="AV203" s="125">
        <f>DR184</f>
        <v>0</v>
      </c>
      <c r="AW203" s="123">
        <f t="shared" si="697"/>
        <v>0</v>
      </c>
    </row>
    <row r="204" spans="1:49" ht="14.25" customHeight="1">
      <c r="A204" s="48">
        <v>10</v>
      </c>
      <c r="B204" s="73" t="s">
        <v>227</v>
      </c>
      <c r="C204" s="70"/>
      <c r="D204" s="61"/>
      <c r="E204" s="106"/>
      <c r="F204" s="45"/>
      <c r="G204" s="45"/>
      <c r="H204" s="45"/>
      <c r="I204" s="45"/>
      <c r="J204" s="56">
        <f t="shared" si="696"/>
        <v>0</v>
      </c>
      <c r="M204" s="47"/>
      <c r="N204" s="47"/>
      <c r="O204" s="47"/>
      <c r="P204" s="47"/>
      <c r="AP204" s="123" t="s">
        <v>318</v>
      </c>
      <c r="AQ204" s="123" t="s">
        <v>308</v>
      </c>
      <c r="AR204" s="129"/>
      <c r="AS204" s="125">
        <f>DL179</f>
        <v>0</v>
      </c>
      <c r="AT204" s="125">
        <f>DN179</f>
        <v>0</v>
      </c>
      <c r="AU204" s="125">
        <f>DP179</f>
        <v>0</v>
      </c>
      <c r="AV204" s="125">
        <f>DR179</f>
        <v>0</v>
      </c>
      <c r="AW204" s="123">
        <f t="shared" si="697"/>
        <v>0</v>
      </c>
    </row>
    <row r="205" spans="1:49" ht="14.25" customHeight="1">
      <c r="B205" s="159"/>
      <c r="C205" s="160"/>
      <c r="D205" s="159"/>
      <c r="M205" s="46"/>
      <c r="N205" s="46"/>
      <c r="O205" s="46"/>
      <c r="P205" s="46"/>
      <c r="AP205" s="123" t="s">
        <v>319</v>
      </c>
      <c r="AQ205" s="123" t="s">
        <v>320</v>
      </c>
      <c r="AR205" s="129"/>
      <c r="AS205" s="125">
        <f>DL71</f>
        <v>2000</v>
      </c>
      <c r="AT205" s="125">
        <f>DN71</f>
        <v>0</v>
      </c>
      <c r="AU205" s="125">
        <f>DP71</f>
        <v>0</v>
      </c>
      <c r="AV205" s="125">
        <f>DR71</f>
        <v>0</v>
      </c>
      <c r="AW205" s="123">
        <f t="shared" si="697"/>
        <v>2000</v>
      </c>
    </row>
    <row r="206" spans="1:49" ht="14.25" customHeight="1">
      <c r="A206" s="155" t="s">
        <v>5</v>
      </c>
      <c r="B206" s="74" t="s">
        <v>228</v>
      </c>
      <c r="C206" s="201" t="s">
        <v>339</v>
      </c>
      <c r="D206" s="201"/>
      <c r="E206" s="161" t="s">
        <v>371</v>
      </c>
      <c r="F206" s="163" t="s">
        <v>305</v>
      </c>
      <c r="G206" s="164"/>
      <c r="H206" s="164"/>
      <c r="I206" s="164"/>
      <c r="J206" s="165"/>
      <c r="M206" s="148" t="s">
        <v>383</v>
      </c>
      <c r="N206" s="149"/>
      <c r="O206" s="149"/>
      <c r="P206" s="150"/>
      <c r="AP206" s="123" t="s">
        <v>275</v>
      </c>
      <c r="AQ206" s="123" t="s">
        <v>320</v>
      </c>
      <c r="AR206" s="129"/>
      <c r="AS206" s="125">
        <f>DL70</f>
        <v>0</v>
      </c>
      <c r="AT206" s="125">
        <f>DN70</f>
        <v>0</v>
      </c>
      <c r="AU206" s="125">
        <f>DP70</f>
        <v>0</v>
      </c>
      <c r="AV206" s="125">
        <f>DR70</f>
        <v>0</v>
      </c>
      <c r="AW206" s="123">
        <f t="shared" si="697"/>
        <v>0</v>
      </c>
    </row>
    <row r="207" spans="1:49" ht="14.25" customHeight="1">
      <c r="A207" s="156"/>
      <c r="B207" s="75" t="s">
        <v>220</v>
      </c>
      <c r="C207" s="201" t="s">
        <v>359</v>
      </c>
      <c r="D207" s="201"/>
      <c r="E207" s="162"/>
      <c r="F207" s="107" t="s">
        <v>18</v>
      </c>
      <c r="G207" s="51" t="s">
        <v>19</v>
      </c>
      <c r="H207" s="51" t="s">
        <v>20</v>
      </c>
      <c r="I207" s="116" t="s">
        <v>21</v>
      </c>
      <c r="J207" s="117" t="s">
        <v>374</v>
      </c>
      <c r="M207" s="107" t="s">
        <v>18</v>
      </c>
      <c r="N207" s="51" t="s">
        <v>19</v>
      </c>
      <c r="O207" s="51" t="s">
        <v>20</v>
      </c>
      <c r="P207" s="116" t="s">
        <v>21</v>
      </c>
      <c r="AP207" s="123" t="s">
        <v>321</v>
      </c>
      <c r="AQ207" s="123" t="s">
        <v>308</v>
      </c>
      <c r="AR207" s="129"/>
      <c r="AS207" s="125">
        <f>DL122</f>
        <v>4800</v>
      </c>
      <c r="AT207" s="125">
        <f>DN122</f>
        <v>0</v>
      </c>
      <c r="AU207" s="125">
        <f>DP122</f>
        <v>0</v>
      </c>
      <c r="AV207" s="125">
        <f>DR122</f>
        <v>0</v>
      </c>
      <c r="AW207" s="123">
        <f t="shared" si="697"/>
        <v>4800</v>
      </c>
    </row>
    <row r="208" spans="1:49" ht="14.25" customHeight="1">
      <c r="A208" s="48">
        <v>1</v>
      </c>
      <c r="B208" s="73" t="s">
        <v>229</v>
      </c>
      <c r="C208" s="70"/>
      <c r="D208" s="61">
        <f>AS54</f>
        <v>3</v>
      </c>
      <c r="E208" s="106"/>
      <c r="F208" s="50">
        <f>DK54</f>
        <v>1</v>
      </c>
      <c r="G208" s="50">
        <f>DM54</f>
        <v>0</v>
      </c>
      <c r="H208" s="50">
        <f>DO54</f>
        <v>1</v>
      </c>
      <c r="I208" s="50">
        <f>DQ54</f>
        <v>0</v>
      </c>
      <c r="J208" s="56">
        <f>SUM(F208:I208)</f>
        <v>2</v>
      </c>
      <c r="M208" s="47"/>
      <c r="N208" s="47"/>
      <c r="O208" s="47"/>
      <c r="P208" s="47"/>
      <c r="AP208" s="123" t="s">
        <v>322</v>
      </c>
      <c r="AQ208" s="123" t="s">
        <v>323</v>
      </c>
      <c r="AR208" s="129"/>
      <c r="AS208" s="125"/>
      <c r="AT208" s="125"/>
      <c r="AU208" s="125"/>
      <c r="AV208" s="125"/>
      <c r="AW208" s="123">
        <f t="shared" si="697"/>
        <v>0</v>
      </c>
    </row>
    <row r="209" spans="1:49" ht="14.25" customHeight="1">
      <c r="A209" s="48">
        <v>2</v>
      </c>
      <c r="B209" s="73" t="s">
        <v>230</v>
      </c>
      <c r="C209" s="70"/>
      <c r="D209" s="61">
        <f>AS53</f>
        <v>2</v>
      </c>
      <c r="E209" s="106"/>
      <c r="F209" s="50">
        <f>DK53</f>
        <v>1</v>
      </c>
      <c r="G209" s="12">
        <f>DM53</f>
        <v>0</v>
      </c>
      <c r="H209" s="12">
        <f>DO53</f>
        <v>0</v>
      </c>
      <c r="I209" s="48">
        <f>DQ53</f>
        <v>0</v>
      </c>
      <c r="J209" s="56">
        <f t="shared" ref="J209:J213" si="698">SUM(F209:I209)</f>
        <v>1</v>
      </c>
      <c r="M209" s="47"/>
      <c r="N209" s="47"/>
      <c r="O209" s="47"/>
      <c r="P209" s="47"/>
      <c r="AP209" s="123" t="s">
        <v>324</v>
      </c>
      <c r="AQ209" s="123" t="s">
        <v>308</v>
      </c>
      <c r="AR209" s="129"/>
      <c r="AS209" s="125">
        <f>DL127</f>
        <v>20</v>
      </c>
      <c r="AT209" s="125">
        <f>DN127</f>
        <v>30</v>
      </c>
      <c r="AU209" s="125">
        <f>DP127</f>
        <v>0</v>
      </c>
      <c r="AV209" s="125">
        <f>DR127</f>
        <v>0</v>
      </c>
      <c r="AW209" s="123">
        <f t="shared" si="697"/>
        <v>50</v>
      </c>
    </row>
    <row r="210" spans="1:49" ht="14.25" customHeight="1">
      <c r="A210" s="48">
        <v>3</v>
      </c>
      <c r="B210" s="73" t="s">
        <v>228</v>
      </c>
      <c r="C210" s="70"/>
      <c r="D210" s="61">
        <f>AS51</f>
        <v>9</v>
      </c>
      <c r="E210" s="106"/>
      <c r="F210" s="50">
        <f>DK51</f>
        <v>1</v>
      </c>
      <c r="G210" s="12">
        <f>DM51</f>
        <v>2</v>
      </c>
      <c r="H210" s="12">
        <f>DO51</f>
        <v>1</v>
      </c>
      <c r="I210" s="48">
        <f>DQ51</f>
        <v>0</v>
      </c>
      <c r="J210" s="56">
        <f t="shared" si="698"/>
        <v>4</v>
      </c>
      <c r="M210" s="47"/>
      <c r="N210" s="47"/>
      <c r="O210" s="47"/>
      <c r="P210" s="47"/>
      <c r="AP210" s="123" t="s">
        <v>325</v>
      </c>
      <c r="AQ210" s="123" t="s">
        <v>308</v>
      </c>
      <c r="AR210" s="129"/>
      <c r="AS210" s="125">
        <f>DL130</f>
        <v>0</v>
      </c>
      <c r="AT210" s="125">
        <f>DN130</f>
        <v>1000</v>
      </c>
      <c r="AU210" s="125">
        <f>DP130</f>
        <v>0</v>
      </c>
      <c r="AV210" s="125">
        <f>DR130</f>
        <v>0</v>
      </c>
      <c r="AW210" s="123">
        <f t="shared" si="697"/>
        <v>1000</v>
      </c>
    </row>
    <row r="211" spans="1:49" ht="14.25" customHeight="1">
      <c r="A211" s="48">
        <v>4</v>
      </c>
      <c r="B211" s="73" t="s">
        <v>231</v>
      </c>
      <c r="C211" s="70"/>
      <c r="D211" s="61">
        <f>AS52</f>
        <v>12</v>
      </c>
      <c r="E211" s="106"/>
      <c r="F211" s="50">
        <f>DK52</f>
        <v>1</v>
      </c>
      <c r="G211" s="12">
        <f>DM52</f>
        <v>5</v>
      </c>
      <c r="H211" s="12">
        <f>DO52</f>
        <v>2</v>
      </c>
      <c r="I211" s="48">
        <f>DQ52</f>
        <v>0</v>
      </c>
      <c r="J211" s="56">
        <f t="shared" si="698"/>
        <v>8</v>
      </c>
      <c r="M211" s="47"/>
      <c r="N211" s="47"/>
      <c r="O211" s="47"/>
      <c r="P211" s="47"/>
      <c r="AP211" s="123" t="s">
        <v>326</v>
      </c>
      <c r="AQ211" s="123" t="s">
        <v>308</v>
      </c>
      <c r="AR211" s="129"/>
      <c r="AS211" s="125">
        <f>DL131</f>
        <v>0</v>
      </c>
      <c r="AT211" s="125">
        <f>DN131</f>
        <v>0</v>
      </c>
      <c r="AU211" s="125">
        <f>DP131</f>
        <v>0</v>
      </c>
      <c r="AV211" s="125">
        <f>DR131</f>
        <v>0</v>
      </c>
      <c r="AW211" s="123">
        <f t="shared" si="697"/>
        <v>0</v>
      </c>
    </row>
    <row r="212" spans="1:49" ht="14.25" customHeight="1">
      <c r="A212" s="48">
        <v>5</v>
      </c>
      <c r="B212" s="73" t="s">
        <v>232</v>
      </c>
      <c r="C212" s="70"/>
      <c r="D212" s="61">
        <f>AS121</f>
        <v>26</v>
      </c>
      <c r="E212" s="106"/>
      <c r="F212" s="50">
        <f>DK121</f>
        <v>3</v>
      </c>
      <c r="G212" s="12">
        <f>DM121</f>
        <v>2</v>
      </c>
      <c r="H212" s="12">
        <f>DO121</f>
        <v>7</v>
      </c>
      <c r="I212" s="48">
        <f>DQ121</f>
        <v>0</v>
      </c>
      <c r="J212" s="56">
        <f t="shared" si="698"/>
        <v>12</v>
      </c>
      <c r="M212" s="47"/>
      <c r="N212" s="47"/>
      <c r="O212" s="47"/>
      <c r="P212" s="47"/>
      <c r="AP212" s="123" t="s">
        <v>327</v>
      </c>
      <c r="AQ212" s="123" t="s">
        <v>308</v>
      </c>
      <c r="AR212" s="129"/>
      <c r="AS212" s="125">
        <f>DL128</f>
        <v>0</v>
      </c>
      <c r="AT212" s="125">
        <f>DN128</f>
        <v>0</v>
      </c>
      <c r="AU212" s="125">
        <f>DP128</f>
        <v>0</v>
      </c>
      <c r="AV212" s="125">
        <f>DR128</f>
        <v>0</v>
      </c>
      <c r="AW212" s="123">
        <f t="shared" si="697"/>
        <v>0</v>
      </c>
    </row>
    <row r="213" spans="1:49" ht="14.25" customHeight="1">
      <c r="A213" s="48">
        <v>6</v>
      </c>
      <c r="B213" s="73" t="s">
        <v>233</v>
      </c>
      <c r="C213" s="70"/>
      <c r="D213" s="61"/>
      <c r="E213" s="106"/>
      <c r="F213" s="50"/>
      <c r="G213" s="12"/>
      <c r="H213" s="12"/>
      <c r="I213" s="48"/>
      <c r="J213" s="56">
        <f t="shared" si="698"/>
        <v>0</v>
      </c>
      <c r="M213" s="47"/>
      <c r="N213" s="47"/>
      <c r="O213" s="47"/>
      <c r="P213" s="47"/>
      <c r="AP213" s="123" t="s">
        <v>328</v>
      </c>
      <c r="AQ213" s="123" t="s">
        <v>308</v>
      </c>
      <c r="AR213" s="129"/>
      <c r="AS213" s="125">
        <f>DL129</f>
        <v>0</v>
      </c>
      <c r="AT213" s="125">
        <f>DN129</f>
        <v>0</v>
      </c>
      <c r="AU213" s="125">
        <f>DP129</f>
        <v>0</v>
      </c>
      <c r="AV213" s="125">
        <f>DR129</f>
        <v>0</v>
      </c>
      <c r="AW213" s="123">
        <f t="shared" si="697"/>
        <v>0</v>
      </c>
    </row>
    <row r="214" spans="1:49" ht="14.25" customHeight="1">
      <c r="B214" s="160"/>
      <c r="C214" s="160"/>
      <c r="D214" s="160"/>
      <c r="M214" s="46"/>
      <c r="N214" s="46"/>
      <c r="O214" s="46"/>
      <c r="P214" s="46"/>
      <c r="AP214" s="123" t="s">
        <v>329</v>
      </c>
      <c r="AQ214" s="123" t="s">
        <v>320</v>
      </c>
      <c r="AR214" s="129"/>
      <c r="AS214" s="125">
        <f>DL134</f>
        <v>1000</v>
      </c>
      <c r="AT214" s="125">
        <f>DN134</f>
        <v>0</v>
      </c>
      <c r="AU214" s="125">
        <f>DP134</f>
        <v>0</v>
      </c>
      <c r="AV214" s="125">
        <f>DR134</f>
        <v>0</v>
      </c>
      <c r="AW214" s="123">
        <f t="shared" si="697"/>
        <v>1000</v>
      </c>
    </row>
    <row r="215" spans="1:49" ht="14.25" customHeight="1">
      <c r="A215" s="168" t="s">
        <v>5</v>
      </c>
      <c r="B215" s="74" t="s">
        <v>234</v>
      </c>
      <c r="C215" s="202" t="s">
        <v>339</v>
      </c>
      <c r="D215" s="202"/>
      <c r="E215" s="166" t="s">
        <v>371</v>
      </c>
      <c r="F215" s="163" t="s">
        <v>305</v>
      </c>
      <c r="G215" s="164"/>
      <c r="H215" s="164"/>
      <c r="I215" s="164"/>
      <c r="J215" s="165"/>
      <c r="M215" s="148" t="s">
        <v>383</v>
      </c>
      <c r="N215" s="149"/>
      <c r="O215" s="149"/>
      <c r="P215" s="150"/>
      <c r="AP215" s="123" t="s">
        <v>330</v>
      </c>
      <c r="AQ215" s="123" t="s">
        <v>308</v>
      </c>
      <c r="AR215" s="129"/>
      <c r="AS215" s="125">
        <f>DL135</f>
        <v>0</v>
      </c>
      <c r="AT215" s="125">
        <f>DN135</f>
        <v>0</v>
      </c>
      <c r="AU215" s="125">
        <f>DP135</f>
        <v>0</v>
      </c>
      <c r="AV215" s="125">
        <f>DR135</f>
        <v>0</v>
      </c>
      <c r="AW215" s="123">
        <f t="shared" si="697"/>
        <v>0</v>
      </c>
    </row>
    <row r="216" spans="1:49" ht="14.25" customHeight="1">
      <c r="A216" s="156"/>
      <c r="B216" s="69" t="s">
        <v>220</v>
      </c>
      <c r="C216" s="202" t="s">
        <v>359</v>
      </c>
      <c r="D216" s="202"/>
      <c r="E216" s="166"/>
      <c r="F216" s="107" t="s">
        <v>18</v>
      </c>
      <c r="G216" s="51" t="s">
        <v>19</v>
      </c>
      <c r="H216" s="51" t="s">
        <v>20</v>
      </c>
      <c r="I216" s="116" t="s">
        <v>21</v>
      </c>
      <c r="J216" s="114" t="s">
        <v>374</v>
      </c>
      <c r="M216" s="107" t="s">
        <v>18</v>
      </c>
      <c r="N216" s="51" t="s">
        <v>19</v>
      </c>
      <c r="O216" s="51" t="s">
        <v>20</v>
      </c>
      <c r="P216" s="116" t="s">
        <v>21</v>
      </c>
      <c r="AP216" s="123" t="s">
        <v>331</v>
      </c>
      <c r="AQ216" s="123" t="s">
        <v>308</v>
      </c>
      <c r="AR216" s="129"/>
      <c r="AS216" s="125"/>
      <c r="AT216" s="125"/>
      <c r="AU216" s="125"/>
      <c r="AV216" s="125"/>
      <c r="AW216" s="123">
        <f t="shared" si="697"/>
        <v>0</v>
      </c>
    </row>
    <row r="217" spans="1:49" ht="14.25" customHeight="1">
      <c r="A217" s="23">
        <v>1</v>
      </c>
      <c r="B217" s="73" t="s">
        <v>235</v>
      </c>
      <c r="C217" s="76"/>
      <c r="D217" s="63">
        <f>AS6</f>
        <v>20</v>
      </c>
      <c r="E217" s="106"/>
      <c r="F217" s="50">
        <f>DK6</f>
        <v>19</v>
      </c>
      <c r="G217" s="12">
        <f>DM6</f>
        <v>11</v>
      </c>
      <c r="H217" s="12">
        <f>DO6</f>
        <v>1</v>
      </c>
      <c r="I217" s="48">
        <f>DQ6</f>
        <v>0</v>
      </c>
      <c r="J217" s="56">
        <f>SUM(F217:I217)</f>
        <v>31</v>
      </c>
      <c r="M217" s="47"/>
      <c r="N217" s="47"/>
      <c r="O217" s="47"/>
      <c r="P217" s="47"/>
      <c r="AP217" s="123" t="s">
        <v>332</v>
      </c>
      <c r="AQ217" s="123" t="s">
        <v>320</v>
      </c>
      <c r="AR217" s="129"/>
      <c r="AS217" s="125"/>
      <c r="AT217" s="125"/>
      <c r="AU217" s="125"/>
      <c r="AV217" s="125"/>
      <c r="AW217" s="123">
        <f t="shared" si="697"/>
        <v>0</v>
      </c>
    </row>
    <row r="218" spans="1:49" ht="14.25" customHeight="1">
      <c r="A218" s="23">
        <v>2</v>
      </c>
      <c r="B218" s="73" t="s">
        <v>236</v>
      </c>
      <c r="C218" s="77"/>
      <c r="D218" s="63">
        <f>AS11</f>
        <v>21</v>
      </c>
      <c r="E218" s="106"/>
      <c r="F218" s="50">
        <f>DL11</f>
        <v>0</v>
      </c>
      <c r="G218" s="12">
        <f>DN11</f>
        <v>0</v>
      </c>
      <c r="H218" s="12">
        <f>DP11</f>
        <v>1</v>
      </c>
      <c r="I218" s="48">
        <f>DR11</f>
        <v>0</v>
      </c>
      <c r="J218" s="56">
        <f t="shared" ref="J218:J232" si="699">SUM(F218:I218)</f>
        <v>1</v>
      </c>
      <c r="M218" s="47"/>
      <c r="N218" s="47"/>
      <c r="O218" s="47"/>
      <c r="P218" s="47"/>
      <c r="AP218" s="123" t="s">
        <v>333</v>
      </c>
      <c r="AQ218" s="123" t="s">
        <v>308</v>
      </c>
      <c r="AR218" s="129"/>
      <c r="AS218" s="125">
        <f>DL139</f>
        <v>0</v>
      </c>
      <c r="AT218" s="125">
        <f>DN139</f>
        <v>50</v>
      </c>
      <c r="AU218" s="125">
        <f>DP139</f>
        <v>0</v>
      </c>
      <c r="AV218" s="125">
        <f>DR139</f>
        <v>0</v>
      </c>
      <c r="AW218" s="123">
        <f t="shared" si="697"/>
        <v>50</v>
      </c>
    </row>
    <row r="219" spans="1:49" ht="14.25" customHeight="1">
      <c r="A219" s="23">
        <v>3</v>
      </c>
      <c r="B219" s="73" t="s">
        <v>237</v>
      </c>
      <c r="C219" s="77"/>
      <c r="D219" s="63"/>
      <c r="E219" s="106"/>
      <c r="F219" s="50"/>
      <c r="G219" s="12"/>
      <c r="H219" s="12"/>
      <c r="I219" s="48"/>
      <c r="J219" s="56">
        <f t="shared" si="699"/>
        <v>0</v>
      </c>
      <c r="M219" s="47"/>
      <c r="N219" s="47"/>
      <c r="O219" s="47"/>
      <c r="P219" s="47"/>
      <c r="AP219" s="123" t="s">
        <v>334</v>
      </c>
      <c r="AQ219" s="123" t="s">
        <v>335</v>
      </c>
      <c r="AR219" s="129"/>
      <c r="AS219" s="125">
        <f>DL177</f>
        <v>0</v>
      </c>
      <c r="AT219" s="125">
        <f>DN177</f>
        <v>0</v>
      </c>
      <c r="AU219" s="125">
        <f>DP177</f>
        <v>0</v>
      </c>
      <c r="AV219" s="125">
        <f>DR177</f>
        <v>0</v>
      </c>
      <c r="AW219" s="123">
        <f t="shared" si="697"/>
        <v>0</v>
      </c>
    </row>
    <row r="220" spans="1:49" ht="14.25" customHeight="1">
      <c r="A220" s="23">
        <v>4</v>
      </c>
      <c r="B220" s="73" t="s">
        <v>238</v>
      </c>
      <c r="C220" s="77"/>
      <c r="D220" s="63">
        <f>AS67</f>
        <v>36</v>
      </c>
      <c r="E220" s="106"/>
      <c r="F220" s="50">
        <f>DK67</f>
        <v>26</v>
      </c>
      <c r="G220" s="12">
        <f>DM67</f>
        <v>27</v>
      </c>
      <c r="H220" s="12">
        <f>DO67</f>
        <v>17</v>
      </c>
      <c r="I220" s="48">
        <f>DQ67</f>
        <v>0</v>
      </c>
      <c r="J220" s="56">
        <f t="shared" si="699"/>
        <v>70</v>
      </c>
      <c r="M220" s="47"/>
      <c r="N220" s="47"/>
      <c r="O220" s="47"/>
      <c r="P220" s="47"/>
      <c r="AR220" s="86"/>
      <c r="AT220"/>
    </row>
    <row r="221" spans="1:49" ht="14.25" customHeight="1">
      <c r="A221" s="23">
        <v>5</v>
      </c>
      <c r="B221" s="73" t="s">
        <v>239</v>
      </c>
      <c r="C221" s="77"/>
      <c r="D221" s="63">
        <f>AS69</f>
        <v>0</v>
      </c>
      <c r="E221" s="106"/>
      <c r="F221" s="50">
        <f>DK69</f>
        <v>0</v>
      </c>
      <c r="G221" s="12">
        <f>DM69</f>
        <v>0</v>
      </c>
      <c r="H221" s="12">
        <f>DO69</f>
        <v>0</v>
      </c>
      <c r="I221" s="48">
        <f>DQ69</f>
        <v>0</v>
      </c>
      <c r="J221" s="56">
        <f t="shared" si="699"/>
        <v>0</v>
      </c>
      <c r="M221" s="47"/>
      <c r="N221" s="47"/>
      <c r="O221" s="47"/>
      <c r="P221" s="47"/>
      <c r="AR221" s="86"/>
      <c r="AT221"/>
    </row>
    <row r="222" spans="1:49" ht="14.25" customHeight="1">
      <c r="A222" s="23">
        <v>6</v>
      </c>
      <c r="B222" s="73" t="s">
        <v>240</v>
      </c>
      <c r="C222" s="77"/>
      <c r="D222" s="63">
        <f>AS68+AO68</f>
        <v>12</v>
      </c>
      <c r="E222" s="106"/>
      <c r="F222" s="50">
        <f>DK68</f>
        <v>4</v>
      </c>
      <c r="G222" s="12">
        <f>DM68</f>
        <v>0</v>
      </c>
      <c r="H222" s="12">
        <f>DO68</f>
        <v>6</v>
      </c>
      <c r="I222" s="48">
        <f>DQ68</f>
        <v>0</v>
      </c>
      <c r="J222" s="56">
        <f t="shared" si="699"/>
        <v>10</v>
      </c>
      <c r="M222" s="47"/>
      <c r="N222" s="47"/>
      <c r="O222" s="47"/>
      <c r="P222" s="47"/>
      <c r="AR222" s="86"/>
      <c r="AT222"/>
    </row>
    <row r="223" spans="1:49" ht="14.25" customHeight="1">
      <c r="A223" s="23">
        <v>7</v>
      </c>
      <c r="B223" s="73" t="s">
        <v>241</v>
      </c>
      <c r="C223" s="77"/>
      <c r="D223" s="63">
        <f>AS66</f>
        <v>0</v>
      </c>
      <c r="E223" s="106"/>
      <c r="F223" s="50">
        <f>DK66</f>
        <v>0</v>
      </c>
      <c r="G223" s="12">
        <f>DM66</f>
        <v>0</v>
      </c>
      <c r="H223" s="12">
        <f>DO66</f>
        <v>0</v>
      </c>
      <c r="I223" s="48">
        <f>DQ66</f>
        <v>0</v>
      </c>
      <c r="J223" s="56">
        <f t="shared" si="699"/>
        <v>0</v>
      </c>
      <c r="M223" s="47"/>
      <c r="N223" s="47"/>
      <c r="O223" s="47"/>
      <c r="P223" s="47"/>
      <c r="AR223" s="86"/>
      <c r="AT223"/>
    </row>
    <row r="224" spans="1:49" ht="14.25" customHeight="1">
      <c r="A224" s="23">
        <v>8</v>
      </c>
      <c r="B224" s="73" t="s">
        <v>242</v>
      </c>
      <c r="C224" s="77"/>
      <c r="D224" s="63">
        <f>AS108</f>
        <v>4</v>
      </c>
      <c r="E224" s="106"/>
      <c r="F224" s="50">
        <f>DK108</f>
        <v>2</v>
      </c>
      <c r="G224" s="12">
        <f>DM108</f>
        <v>1</v>
      </c>
      <c r="H224" s="12">
        <f>DO108</f>
        <v>0</v>
      </c>
      <c r="I224" s="48">
        <f>DQ108</f>
        <v>0</v>
      </c>
      <c r="J224" s="56">
        <f t="shared" si="699"/>
        <v>3</v>
      </c>
      <c r="M224" s="47"/>
      <c r="N224" s="47"/>
      <c r="O224" s="47"/>
      <c r="P224" s="47"/>
      <c r="AR224" s="86"/>
      <c r="AT224"/>
    </row>
    <row r="225" spans="1:46" ht="14.25" customHeight="1">
      <c r="A225" s="23">
        <v>9</v>
      </c>
      <c r="B225" s="73" t="s">
        <v>243</v>
      </c>
      <c r="C225" s="77"/>
      <c r="D225" s="63">
        <f>AS109</f>
        <v>10</v>
      </c>
      <c r="E225" s="106"/>
      <c r="F225" s="50">
        <f>DK109</f>
        <v>0</v>
      </c>
      <c r="G225" s="12">
        <f>DM109</f>
        <v>2</v>
      </c>
      <c r="H225" s="12">
        <f>DO109</f>
        <v>0</v>
      </c>
      <c r="I225" s="48">
        <f>DQ109</f>
        <v>0</v>
      </c>
      <c r="J225" s="56">
        <f t="shared" si="699"/>
        <v>2</v>
      </c>
      <c r="M225" s="47"/>
      <c r="N225" s="47"/>
      <c r="O225" s="47"/>
      <c r="P225" s="47"/>
      <c r="AR225" s="86"/>
      <c r="AT225"/>
    </row>
    <row r="226" spans="1:46" ht="14.25" customHeight="1">
      <c r="A226" s="23">
        <v>10</v>
      </c>
      <c r="B226" s="73" t="s">
        <v>244</v>
      </c>
      <c r="C226" s="77"/>
      <c r="D226" s="63">
        <f>AS112</f>
        <v>0</v>
      </c>
      <c r="E226" s="106"/>
      <c r="F226" s="50">
        <f>DK112</f>
        <v>0</v>
      </c>
      <c r="G226" s="12">
        <f>DM112</f>
        <v>0</v>
      </c>
      <c r="H226" s="12">
        <f>DO112</f>
        <v>0</v>
      </c>
      <c r="I226" s="48">
        <f>DQ112</f>
        <v>0</v>
      </c>
      <c r="J226" s="56">
        <f t="shared" si="699"/>
        <v>0</v>
      </c>
      <c r="M226" s="47"/>
      <c r="N226" s="47"/>
      <c r="O226" s="47"/>
      <c r="P226" s="47"/>
      <c r="AR226" s="86"/>
      <c r="AT226"/>
    </row>
    <row r="227" spans="1:46" ht="14.25" customHeight="1">
      <c r="A227" s="23">
        <v>11</v>
      </c>
      <c r="B227" s="73" t="s">
        <v>245</v>
      </c>
      <c r="C227" s="77"/>
      <c r="D227" s="63">
        <f>AS113</f>
        <v>4</v>
      </c>
      <c r="E227" s="106"/>
      <c r="F227" s="50">
        <f>DK113</f>
        <v>1</v>
      </c>
      <c r="G227" s="12">
        <f>DM113</f>
        <v>0</v>
      </c>
      <c r="H227" s="12">
        <f>DO113</f>
        <v>0</v>
      </c>
      <c r="I227" s="48">
        <f>DQ113</f>
        <v>0</v>
      </c>
      <c r="J227" s="56">
        <f t="shared" si="699"/>
        <v>1</v>
      </c>
      <c r="M227" s="47"/>
      <c r="N227" s="47"/>
      <c r="O227" s="47"/>
      <c r="P227" s="47"/>
      <c r="AR227" s="86"/>
      <c r="AT227"/>
    </row>
    <row r="228" spans="1:46" ht="14.25" customHeight="1">
      <c r="A228" s="23">
        <v>12</v>
      </c>
      <c r="B228" s="73" t="s">
        <v>246</v>
      </c>
      <c r="C228" s="77"/>
      <c r="D228" s="63"/>
      <c r="E228" s="106"/>
      <c r="F228" s="50"/>
      <c r="G228" s="12"/>
      <c r="H228" s="12"/>
      <c r="I228" s="48"/>
      <c r="J228" s="56">
        <f t="shared" si="699"/>
        <v>0</v>
      </c>
      <c r="M228" s="47"/>
      <c r="N228" s="47"/>
      <c r="O228" s="47"/>
      <c r="P228" s="47"/>
      <c r="AR228" s="86"/>
      <c r="AT228"/>
    </row>
    <row r="229" spans="1:46" ht="14.25" customHeight="1">
      <c r="A229" s="23">
        <v>13</v>
      </c>
      <c r="B229" s="73" t="s">
        <v>247</v>
      </c>
      <c r="C229" s="77"/>
      <c r="D229" s="63"/>
      <c r="E229" s="106"/>
      <c r="F229" s="50"/>
      <c r="G229" s="12"/>
      <c r="H229" s="12"/>
      <c r="I229" s="48"/>
      <c r="J229" s="56">
        <f t="shared" si="699"/>
        <v>0</v>
      </c>
      <c r="M229" s="47"/>
      <c r="N229" s="47"/>
      <c r="O229" s="47"/>
      <c r="P229" s="47"/>
      <c r="AR229" s="86"/>
      <c r="AT229"/>
    </row>
    <row r="230" spans="1:46" ht="14.25" customHeight="1">
      <c r="A230" s="23">
        <v>14</v>
      </c>
      <c r="B230" s="73" t="s">
        <v>248</v>
      </c>
      <c r="C230" s="77"/>
      <c r="D230" s="63">
        <f>AS119</f>
        <v>30</v>
      </c>
      <c r="E230" s="106"/>
      <c r="F230" s="50">
        <f>DL119</f>
        <v>0</v>
      </c>
      <c r="G230" s="12">
        <f>DN119</f>
        <v>0</v>
      </c>
      <c r="H230" s="12">
        <f>DP119</f>
        <v>6</v>
      </c>
      <c r="I230" s="48">
        <f>DR119</f>
        <v>0</v>
      </c>
      <c r="J230" s="56">
        <f t="shared" si="699"/>
        <v>6</v>
      </c>
      <c r="M230" s="47"/>
      <c r="N230" s="47"/>
      <c r="O230" s="47"/>
      <c r="P230" s="47"/>
      <c r="AR230" s="86"/>
      <c r="AT230"/>
    </row>
    <row r="231" spans="1:46" ht="14.25" customHeight="1">
      <c r="A231" s="23">
        <v>15</v>
      </c>
      <c r="B231" s="73" t="s">
        <v>249</v>
      </c>
      <c r="C231" s="77"/>
      <c r="D231" s="63">
        <f>AS118</f>
        <v>36</v>
      </c>
      <c r="E231" s="106"/>
      <c r="F231" s="50">
        <f>DL118</f>
        <v>0</v>
      </c>
      <c r="G231" s="12">
        <f>DN118</f>
        <v>11</v>
      </c>
      <c r="H231" s="12">
        <f>DP118</f>
        <v>0</v>
      </c>
      <c r="I231" s="48">
        <f>DR118</f>
        <v>0</v>
      </c>
      <c r="J231" s="56">
        <f t="shared" si="699"/>
        <v>11</v>
      </c>
      <c r="M231" s="47"/>
      <c r="N231" s="47"/>
      <c r="O231" s="47"/>
      <c r="P231" s="47"/>
      <c r="AR231" s="86"/>
      <c r="AT231"/>
    </row>
    <row r="232" spans="1:46" ht="14.25" customHeight="1">
      <c r="A232" s="23">
        <v>16</v>
      </c>
      <c r="B232" s="73" t="s">
        <v>250</v>
      </c>
      <c r="C232" s="77"/>
      <c r="D232" s="63">
        <f>AS120+AO120</f>
        <v>0</v>
      </c>
      <c r="E232" s="106"/>
      <c r="F232" s="50">
        <f>DK120</f>
        <v>0</v>
      </c>
      <c r="G232" s="12">
        <f>DM120</f>
        <v>0</v>
      </c>
      <c r="H232" s="12">
        <f>DO120</f>
        <v>0</v>
      </c>
      <c r="I232" s="48">
        <f>DQ120</f>
        <v>0</v>
      </c>
      <c r="J232" s="56">
        <f t="shared" si="699"/>
        <v>0</v>
      </c>
      <c r="M232" s="47"/>
      <c r="N232" s="47"/>
      <c r="O232" s="47"/>
      <c r="P232" s="47"/>
      <c r="AR232" s="86"/>
      <c r="AT232"/>
    </row>
    <row r="233" spans="1:46" ht="14.25" customHeight="1">
      <c r="B233" s="160"/>
      <c r="C233" s="160"/>
      <c r="D233" s="160"/>
      <c r="M233" s="46"/>
      <c r="N233" s="46"/>
      <c r="O233" s="46"/>
      <c r="P233" s="46"/>
      <c r="AR233" s="86"/>
      <c r="AT233"/>
    </row>
    <row r="234" spans="1:46" ht="14.25" customHeight="1">
      <c r="A234" s="155" t="s">
        <v>5</v>
      </c>
      <c r="B234" s="74" t="s">
        <v>251</v>
      </c>
      <c r="C234" s="201" t="s">
        <v>339</v>
      </c>
      <c r="D234" s="201"/>
      <c r="E234" s="166" t="s">
        <v>372</v>
      </c>
      <c r="F234" s="163" t="s">
        <v>305</v>
      </c>
      <c r="G234" s="164"/>
      <c r="H234" s="164"/>
      <c r="I234" s="164"/>
      <c r="J234" s="165"/>
      <c r="M234" s="220" t="s">
        <v>383</v>
      </c>
      <c r="N234" s="221"/>
      <c r="O234" s="221"/>
      <c r="P234" s="221"/>
      <c r="Q234" s="221"/>
      <c r="AR234" s="86"/>
      <c r="AT234"/>
    </row>
    <row r="235" spans="1:46" ht="14.25" customHeight="1">
      <c r="A235" s="167"/>
      <c r="B235" s="69" t="s">
        <v>220</v>
      </c>
      <c r="C235" s="201" t="s">
        <v>359</v>
      </c>
      <c r="D235" s="203"/>
      <c r="E235" s="166"/>
      <c r="F235" s="107" t="s">
        <v>18</v>
      </c>
      <c r="G235" s="51" t="s">
        <v>19</v>
      </c>
      <c r="H235" s="51" t="s">
        <v>20</v>
      </c>
      <c r="I235" s="116" t="s">
        <v>21</v>
      </c>
      <c r="J235" s="114" t="s">
        <v>374</v>
      </c>
      <c r="M235" s="107" t="s">
        <v>18</v>
      </c>
      <c r="N235" s="51" t="s">
        <v>19</v>
      </c>
      <c r="O235" s="51" t="s">
        <v>20</v>
      </c>
      <c r="P235" s="116" t="s">
        <v>21</v>
      </c>
      <c r="Q235" s="114" t="s">
        <v>374</v>
      </c>
      <c r="AR235" s="86"/>
      <c r="AT235"/>
    </row>
    <row r="236" spans="1:46" ht="14.25" customHeight="1">
      <c r="A236" s="48">
        <v>1</v>
      </c>
      <c r="B236" s="73" t="s">
        <v>252</v>
      </c>
      <c r="C236" s="70"/>
      <c r="D236" s="62">
        <f>AS93</f>
        <v>27</v>
      </c>
      <c r="E236" s="106"/>
      <c r="F236" s="50">
        <f>DK93</f>
        <v>32</v>
      </c>
      <c r="G236" s="12">
        <f>DM93</f>
        <v>20</v>
      </c>
      <c r="H236" s="12">
        <f>DO93</f>
        <v>9</v>
      </c>
      <c r="I236" s="48">
        <f>DQ93</f>
        <v>0</v>
      </c>
      <c r="J236" s="56">
        <f>SUM(F236:I236)</f>
        <v>61</v>
      </c>
      <c r="M236" s="56">
        <f>F236*200</f>
        <v>6400</v>
      </c>
      <c r="N236" s="47">
        <f>G236*200</f>
        <v>4000</v>
      </c>
      <c r="O236" s="47">
        <f>H236*200</f>
        <v>1800</v>
      </c>
      <c r="P236" s="222">
        <f>I236*200</f>
        <v>0</v>
      </c>
      <c r="Q236" s="47">
        <f>SUM(M236:P236)</f>
        <v>12200</v>
      </c>
      <c r="AR236" s="86"/>
      <c r="AT236"/>
    </row>
    <row r="237" spans="1:46" ht="14.25" customHeight="1">
      <c r="A237" s="48">
        <v>2</v>
      </c>
      <c r="B237" s="73" t="s">
        <v>253</v>
      </c>
      <c r="C237" s="70"/>
      <c r="D237" s="62">
        <f>AS94</f>
        <v>44</v>
      </c>
      <c r="E237" s="106"/>
      <c r="F237" s="50">
        <f t="shared" ref="F237:F238" si="700">DK94</f>
        <v>23</v>
      </c>
      <c r="G237" s="12">
        <f t="shared" ref="G237:G238" si="701">DM94</f>
        <v>26</v>
      </c>
      <c r="H237" s="12">
        <f t="shared" ref="H237:H238" si="702">DO94</f>
        <v>9</v>
      </c>
      <c r="I237" s="48">
        <f t="shared" ref="I237:I238" si="703">DQ94</f>
        <v>0</v>
      </c>
      <c r="J237" s="56">
        <f t="shared" ref="J237:J246" si="704">SUM(F237:I237)</f>
        <v>58</v>
      </c>
      <c r="M237" s="56">
        <f>F237*80</f>
        <v>1840</v>
      </c>
      <c r="N237" s="47">
        <f>G237*80</f>
        <v>2080</v>
      </c>
      <c r="O237" s="47">
        <f>H237*80</f>
        <v>720</v>
      </c>
      <c r="P237" s="222">
        <f>I237*80</f>
        <v>0</v>
      </c>
      <c r="Q237" s="47">
        <f>SUM(M237:P237)</f>
        <v>4640</v>
      </c>
      <c r="AR237" s="86"/>
      <c r="AT237"/>
    </row>
    <row r="238" spans="1:46" ht="14.25" customHeight="1">
      <c r="A238" s="48">
        <v>3</v>
      </c>
      <c r="B238" s="73" t="s">
        <v>254</v>
      </c>
      <c r="C238" s="70"/>
      <c r="D238" s="62">
        <f>AS95</f>
        <v>11</v>
      </c>
      <c r="E238" s="106"/>
      <c r="F238" s="50">
        <f t="shared" si="700"/>
        <v>12</v>
      </c>
      <c r="G238" s="12">
        <f t="shared" si="701"/>
        <v>14</v>
      </c>
      <c r="H238" s="12">
        <f t="shared" si="702"/>
        <v>5</v>
      </c>
      <c r="I238" s="48">
        <f t="shared" si="703"/>
        <v>0</v>
      </c>
      <c r="J238" s="56">
        <f t="shared" si="704"/>
        <v>31</v>
      </c>
      <c r="M238" s="56"/>
      <c r="N238" s="47"/>
      <c r="O238" s="47"/>
      <c r="P238" s="222"/>
      <c r="Q238" s="47"/>
      <c r="AR238" s="86"/>
      <c r="AT238"/>
    </row>
    <row r="239" spans="1:46" ht="14.25" customHeight="1">
      <c r="A239" s="48">
        <v>4</v>
      </c>
      <c r="B239" s="73" t="s">
        <v>255</v>
      </c>
      <c r="C239" s="70"/>
      <c r="D239" s="62">
        <f>AS23</f>
        <v>35</v>
      </c>
      <c r="E239" s="106"/>
      <c r="F239" s="50">
        <f>DK23</f>
        <v>10</v>
      </c>
      <c r="G239" s="12">
        <f>DM23</f>
        <v>23</v>
      </c>
      <c r="H239" s="12">
        <f>DO23</f>
        <v>23</v>
      </c>
      <c r="I239" s="48">
        <f>DQ23</f>
        <v>0</v>
      </c>
      <c r="J239" s="56">
        <f t="shared" si="704"/>
        <v>56</v>
      </c>
      <c r="M239" s="56"/>
      <c r="N239" s="47"/>
      <c r="O239" s="47"/>
      <c r="P239" s="222"/>
      <c r="Q239" s="47"/>
      <c r="AR239" s="86"/>
      <c r="AT239"/>
    </row>
    <row r="240" spans="1:46" ht="14.25" customHeight="1">
      <c r="A240" s="48">
        <v>5</v>
      </c>
      <c r="B240" s="73" t="s">
        <v>256</v>
      </c>
      <c r="C240" s="70"/>
      <c r="D240" s="62">
        <f>AS24</f>
        <v>21</v>
      </c>
      <c r="E240" s="106"/>
      <c r="F240" s="50">
        <f>DK24</f>
        <v>9</v>
      </c>
      <c r="G240" s="12">
        <f>DM24</f>
        <v>24</v>
      </c>
      <c r="H240" s="12">
        <f>DO24</f>
        <v>21</v>
      </c>
      <c r="I240" s="48">
        <f>DQ24</f>
        <v>0</v>
      </c>
      <c r="J240" s="56">
        <f t="shared" si="704"/>
        <v>54</v>
      </c>
      <c r="M240" s="56"/>
      <c r="N240" s="47"/>
      <c r="O240" s="47"/>
      <c r="P240" s="222"/>
      <c r="Q240" s="47"/>
      <c r="AR240" s="86"/>
      <c r="AT240"/>
    </row>
    <row r="241" spans="1:46" ht="14.25" customHeight="1">
      <c r="A241" s="48">
        <v>6</v>
      </c>
      <c r="B241" s="73" t="s">
        <v>257</v>
      </c>
      <c r="C241" s="70"/>
      <c r="D241" s="62">
        <f>AS76</f>
        <v>26</v>
      </c>
      <c r="E241" s="106"/>
      <c r="F241" s="50">
        <f>DK76</f>
        <v>2</v>
      </c>
      <c r="G241" s="12">
        <f>DM76</f>
        <v>1</v>
      </c>
      <c r="H241" s="12">
        <f>DO76</f>
        <v>0</v>
      </c>
      <c r="I241" s="48">
        <f>DQ76</f>
        <v>0</v>
      </c>
      <c r="J241" s="56">
        <f t="shared" si="704"/>
        <v>3</v>
      </c>
      <c r="M241" s="56"/>
      <c r="N241" s="47"/>
      <c r="O241" s="47"/>
      <c r="P241" s="222"/>
      <c r="Q241" s="47"/>
      <c r="AR241" s="86"/>
      <c r="AT241"/>
    </row>
    <row r="242" spans="1:46" ht="14.25" customHeight="1">
      <c r="A242" s="48">
        <v>7</v>
      </c>
      <c r="B242" s="73" t="s">
        <v>258</v>
      </c>
      <c r="C242" s="70"/>
      <c r="D242" s="62">
        <f>AS97</f>
        <v>3</v>
      </c>
      <c r="E242" s="106"/>
      <c r="F242" s="50">
        <f>DK97</f>
        <v>0</v>
      </c>
      <c r="G242" s="12">
        <f>DM97</f>
        <v>0</v>
      </c>
      <c r="H242" s="12">
        <f>DO97</f>
        <v>0</v>
      </c>
      <c r="I242" s="48">
        <f>DQ97</f>
        <v>0</v>
      </c>
      <c r="J242" s="56">
        <f t="shared" si="704"/>
        <v>0</v>
      </c>
      <c r="M242" s="56"/>
      <c r="N242" s="47"/>
      <c r="O242" s="47"/>
      <c r="P242" s="222"/>
      <c r="Q242" s="47"/>
      <c r="AR242" s="86"/>
      <c r="AT242"/>
    </row>
    <row r="243" spans="1:46" ht="14.25" customHeight="1">
      <c r="A243" s="48">
        <v>8</v>
      </c>
      <c r="B243" s="73" t="s">
        <v>259</v>
      </c>
      <c r="C243" s="70"/>
      <c r="D243" s="62">
        <f>AS96</f>
        <v>1</v>
      </c>
      <c r="E243" s="106"/>
      <c r="F243" s="50">
        <f>DK96</f>
        <v>0</v>
      </c>
      <c r="G243" s="12">
        <f>DM96</f>
        <v>0</v>
      </c>
      <c r="H243" s="12">
        <f>DO96</f>
        <v>1</v>
      </c>
      <c r="I243" s="48">
        <f>DQ96</f>
        <v>0</v>
      </c>
      <c r="J243" s="56">
        <f t="shared" si="704"/>
        <v>1</v>
      </c>
      <c r="M243" s="56"/>
      <c r="N243" s="47"/>
      <c r="O243" s="47"/>
      <c r="P243" s="222"/>
      <c r="Q243" s="47"/>
      <c r="AR243" s="86"/>
      <c r="AT243"/>
    </row>
    <row r="244" spans="1:46" ht="14.25" customHeight="1">
      <c r="A244" s="48">
        <v>9</v>
      </c>
      <c r="B244" s="73" t="s">
        <v>260</v>
      </c>
      <c r="C244" s="70"/>
      <c r="D244" s="62">
        <f>AS98</f>
        <v>7</v>
      </c>
      <c r="E244" s="106"/>
      <c r="F244" s="50">
        <f>DK98</f>
        <v>6</v>
      </c>
      <c r="G244" s="12">
        <f>DM98</f>
        <v>3</v>
      </c>
      <c r="H244" s="12">
        <f>DO98</f>
        <v>2</v>
      </c>
      <c r="I244" s="48">
        <f>DQ98</f>
        <v>0</v>
      </c>
      <c r="J244" s="56">
        <f t="shared" si="704"/>
        <v>11</v>
      </c>
      <c r="M244" s="56">
        <f>F244*80</f>
        <v>480</v>
      </c>
      <c r="N244" s="47">
        <f>G244*80</f>
        <v>240</v>
      </c>
      <c r="O244" s="47">
        <f>H244*80</f>
        <v>160</v>
      </c>
      <c r="P244" s="222">
        <f>I244*80</f>
        <v>0</v>
      </c>
      <c r="Q244" s="47">
        <f>SUM(M244:P244)</f>
        <v>880</v>
      </c>
      <c r="AR244" s="86"/>
      <c r="AT244"/>
    </row>
    <row r="245" spans="1:46" ht="14.25" customHeight="1">
      <c r="A245" s="44">
        <v>10</v>
      </c>
      <c r="B245" s="73" t="s">
        <v>261</v>
      </c>
      <c r="C245" s="70"/>
      <c r="D245" s="62">
        <f>AS104</f>
        <v>6</v>
      </c>
      <c r="E245" s="106"/>
      <c r="F245" s="50">
        <f>DK104</f>
        <v>2</v>
      </c>
      <c r="G245" s="12">
        <f>DM104</f>
        <v>1</v>
      </c>
      <c r="H245" s="12">
        <f>DO104</f>
        <v>1</v>
      </c>
      <c r="I245" s="48">
        <f>DQ104</f>
        <v>0</v>
      </c>
      <c r="J245" s="56">
        <f t="shared" si="704"/>
        <v>4</v>
      </c>
      <c r="M245" s="56">
        <f>F245*50</f>
        <v>100</v>
      </c>
      <c r="N245" s="47">
        <f>G245*50</f>
        <v>50</v>
      </c>
      <c r="O245" s="47">
        <f>H245*50</f>
        <v>50</v>
      </c>
      <c r="P245" s="222">
        <f>I245*50</f>
        <v>0</v>
      </c>
      <c r="Q245" s="47">
        <f>SUM(M245:P245)</f>
        <v>200</v>
      </c>
      <c r="AR245" s="86"/>
      <c r="AT245"/>
    </row>
    <row r="246" spans="1:46" ht="14.25" customHeight="1">
      <c r="A246" s="79">
        <v>11</v>
      </c>
      <c r="B246" s="80" t="s">
        <v>304</v>
      </c>
      <c r="C246" s="78"/>
      <c r="D246" s="64">
        <f>AS25</f>
        <v>11</v>
      </c>
      <c r="E246" s="106"/>
      <c r="F246" s="50">
        <f>DK25</f>
        <v>0</v>
      </c>
      <c r="G246" s="12">
        <f>DM25</f>
        <v>0</v>
      </c>
      <c r="H246" s="12">
        <f>DO25</f>
        <v>1</v>
      </c>
      <c r="I246" s="48">
        <f>DQ25</f>
        <v>0</v>
      </c>
      <c r="J246" s="56">
        <f t="shared" si="704"/>
        <v>1</v>
      </c>
      <c r="M246" s="56"/>
      <c r="N246" s="47"/>
      <c r="O246" s="47"/>
      <c r="P246" s="222"/>
      <c r="Q246" s="47"/>
      <c r="AH246" s="43"/>
      <c r="AI246" s="43"/>
      <c r="AR246" s="86"/>
      <c r="AT246"/>
    </row>
    <row r="247" spans="1:46" ht="14.25" customHeight="1">
      <c r="A247" s="46"/>
      <c r="B247" s="159"/>
      <c r="C247" s="160"/>
      <c r="D247" s="159"/>
      <c r="M247" s="46"/>
      <c r="N247" s="46"/>
      <c r="O247" s="46"/>
      <c r="P247" s="46"/>
      <c r="AR247" s="86"/>
      <c r="AT247"/>
    </row>
    <row r="248" spans="1:46" ht="14.25" customHeight="1">
      <c r="A248" s="24" t="s">
        <v>5</v>
      </c>
      <c r="B248" s="74" t="s">
        <v>262</v>
      </c>
      <c r="C248" s="201" t="s">
        <v>339</v>
      </c>
      <c r="D248" s="201"/>
      <c r="E248" s="197" t="s">
        <v>371</v>
      </c>
      <c r="F248" s="196" t="s">
        <v>305</v>
      </c>
      <c r="G248" s="164"/>
      <c r="H248" s="164"/>
      <c r="I248" s="164"/>
      <c r="J248" s="165"/>
      <c r="M248" s="148" t="s">
        <v>383</v>
      </c>
      <c r="N248" s="149"/>
      <c r="O248" s="149"/>
      <c r="P248" s="150"/>
      <c r="AR248" s="86"/>
      <c r="AT248"/>
    </row>
    <row r="249" spans="1:46" ht="14.25" customHeight="1">
      <c r="A249" s="24"/>
      <c r="B249" s="69" t="s">
        <v>220</v>
      </c>
      <c r="C249" s="201" t="s">
        <v>359</v>
      </c>
      <c r="D249" s="201"/>
      <c r="E249" s="198"/>
      <c r="F249" s="107" t="s">
        <v>18</v>
      </c>
      <c r="G249" s="51" t="s">
        <v>19</v>
      </c>
      <c r="H249" s="51" t="s">
        <v>20</v>
      </c>
      <c r="I249" s="116" t="s">
        <v>21</v>
      </c>
      <c r="J249" s="114" t="s">
        <v>374</v>
      </c>
      <c r="M249" s="107" t="s">
        <v>18</v>
      </c>
      <c r="N249" s="51" t="s">
        <v>19</v>
      </c>
      <c r="O249" s="51" t="s">
        <v>20</v>
      </c>
      <c r="P249" s="116" t="s">
        <v>21</v>
      </c>
      <c r="AR249" s="86"/>
      <c r="AT249"/>
    </row>
    <row r="250" spans="1:46" ht="14.25" customHeight="1">
      <c r="A250" s="23">
        <v>1</v>
      </c>
      <c r="B250" s="73" t="s">
        <v>263</v>
      </c>
      <c r="C250" s="70"/>
      <c r="D250" s="62"/>
      <c r="E250" s="106"/>
      <c r="F250" s="50"/>
      <c r="G250" s="12"/>
      <c r="H250" s="12"/>
      <c r="I250" s="48"/>
      <c r="J250" s="56">
        <f>SUM(F250:I250)</f>
        <v>0</v>
      </c>
      <c r="M250" s="47"/>
      <c r="N250" s="47"/>
      <c r="O250" s="47"/>
      <c r="P250" s="47"/>
      <c r="AR250" s="86"/>
      <c r="AT250"/>
    </row>
    <row r="251" spans="1:46" ht="14.25" customHeight="1">
      <c r="A251" s="23">
        <v>2</v>
      </c>
      <c r="B251" s="73" t="s">
        <v>264</v>
      </c>
      <c r="C251" s="70"/>
      <c r="D251" s="62"/>
      <c r="E251" s="106"/>
      <c r="F251" s="50"/>
      <c r="G251" s="12"/>
      <c r="H251" s="12"/>
      <c r="I251" s="48"/>
      <c r="J251" s="56">
        <f t="shared" ref="J251:J272" si="705">SUM(F251:I251)</f>
        <v>0</v>
      </c>
      <c r="M251" s="47"/>
      <c r="N251" s="47"/>
      <c r="O251" s="47"/>
      <c r="P251" s="47"/>
      <c r="AR251" s="86"/>
      <c r="AT251"/>
    </row>
    <row r="252" spans="1:46" ht="14.25" customHeight="1">
      <c r="A252" s="23">
        <v>3</v>
      </c>
      <c r="B252" s="73" t="s">
        <v>265</v>
      </c>
      <c r="C252" s="70"/>
      <c r="D252" s="62"/>
      <c r="E252" s="106"/>
      <c r="F252" s="50"/>
      <c r="G252" s="12"/>
      <c r="H252" s="12"/>
      <c r="I252" s="48"/>
      <c r="J252" s="56">
        <f t="shared" si="705"/>
        <v>0</v>
      </c>
      <c r="M252" s="47"/>
      <c r="N252" s="47"/>
      <c r="O252" s="47"/>
      <c r="P252" s="47"/>
      <c r="AR252" s="86"/>
      <c r="AT252"/>
    </row>
    <row r="253" spans="1:46" ht="14.25" customHeight="1">
      <c r="A253" s="23">
        <v>4</v>
      </c>
      <c r="B253" s="73" t="s">
        <v>266</v>
      </c>
      <c r="C253" s="70"/>
      <c r="D253" s="62"/>
      <c r="E253" s="106"/>
      <c r="F253" s="50"/>
      <c r="G253" s="12"/>
      <c r="H253" s="12"/>
      <c r="I253" s="48"/>
      <c r="J253" s="56">
        <f t="shared" si="705"/>
        <v>0</v>
      </c>
      <c r="M253" s="47"/>
      <c r="N253" s="47"/>
      <c r="O253" s="47"/>
      <c r="P253" s="47"/>
      <c r="AR253" s="86"/>
      <c r="AT253"/>
    </row>
    <row r="254" spans="1:46" ht="14.25" customHeight="1">
      <c r="A254" s="23">
        <v>5</v>
      </c>
      <c r="B254" s="73" t="s">
        <v>267</v>
      </c>
      <c r="C254" s="70"/>
      <c r="D254" s="62">
        <f>AS16</f>
        <v>2</v>
      </c>
      <c r="E254" s="106"/>
      <c r="F254" s="50">
        <f>DK16</f>
        <v>0</v>
      </c>
      <c r="G254" s="12">
        <f>DM16</f>
        <v>1</v>
      </c>
      <c r="H254" s="12">
        <f>DO16</f>
        <v>0</v>
      </c>
      <c r="I254" s="48">
        <f>DQ16</f>
        <v>0</v>
      </c>
      <c r="J254" s="56">
        <f t="shared" si="705"/>
        <v>1</v>
      </c>
      <c r="M254" s="47"/>
      <c r="N254" s="47"/>
      <c r="O254" s="47"/>
      <c r="P254" s="47"/>
      <c r="AR254" s="86"/>
      <c r="AT254"/>
    </row>
    <row r="255" spans="1:46" ht="14.25" customHeight="1">
      <c r="A255" s="23">
        <v>6</v>
      </c>
      <c r="B255" s="82" t="s">
        <v>336</v>
      </c>
      <c r="C255" s="70"/>
      <c r="D255" s="62">
        <f>AS21</f>
        <v>4</v>
      </c>
      <c r="E255" s="106"/>
      <c r="F255" s="50">
        <f>DK21</f>
        <v>0</v>
      </c>
      <c r="G255" s="12">
        <f>DM21</f>
        <v>1</v>
      </c>
      <c r="H255" s="12">
        <f>DO21</f>
        <v>0</v>
      </c>
      <c r="I255" s="48">
        <f>DQ21</f>
        <v>0</v>
      </c>
      <c r="J255" s="56">
        <f t="shared" si="705"/>
        <v>1</v>
      </c>
      <c r="M255" s="47"/>
      <c r="N255" s="47"/>
      <c r="O255" s="47"/>
      <c r="P255" s="47"/>
      <c r="AR255" s="86"/>
      <c r="AT255"/>
    </row>
    <row r="256" spans="1:46" ht="14.25" customHeight="1">
      <c r="A256" s="23">
        <v>7</v>
      </c>
      <c r="B256" s="82" t="s">
        <v>337</v>
      </c>
      <c r="C256" s="81"/>
      <c r="D256" s="65">
        <f>AS22</f>
        <v>0</v>
      </c>
      <c r="E256" s="106"/>
      <c r="F256" s="50">
        <f>DK22</f>
        <v>0</v>
      </c>
      <c r="G256" s="12">
        <f>DM22</f>
        <v>0</v>
      </c>
      <c r="H256" s="12">
        <f>DO22</f>
        <v>0</v>
      </c>
      <c r="I256" s="48">
        <f>DQ22</f>
        <v>0</v>
      </c>
      <c r="J256" s="56">
        <f t="shared" si="705"/>
        <v>0</v>
      </c>
      <c r="M256" s="47"/>
      <c r="N256" s="47"/>
      <c r="O256" s="47"/>
      <c r="P256" s="47"/>
      <c r="AR256" s="86"/>
      <c r="AT256"/>
    </row>
    <row r="257" spans="1:46" ht="14.25" customHeight="1">
      <c r="A257" s="23">
        <v>8</v>
      </c>
      <c r="B257" s="73" t="s">
        <v>268</v>
      </c>
      <c r="C257" s="70"/>
      <c r="D257" s="62"/>
      <c r="E257" s="106"/>
      <c r="F257" s="50"/>
      <c r="G257" s="12"/>
      <c r="H257" s="12"/>
      <c r="I257" s="48"/>
      <c r="J257" s="56">
        <f t="shared" si="705"/>
        <v>0</v>
      </c>
      <c r="M257" s="47"/>
      <c r="N257" s="47"/>
      <c r="O257" s="47"/>
      <c r="P257" s="47"/>
      <c r="AR257" s="86"/>
      <c r="AT257"/>
    </row>
    <row r="258" spans="1:46" ht="14.25" customHeight="1">
      <c r="A258" s="23">
        <v>9</v>
      </c>
      <c r="B258" s="73" t="s">
        <v>269</v>
      </c>
      <c r="C258" s="70"/>
      <c r="D258" s="62"/>
      <c r="E258" s="106"/>
      <c r="F258" s="50"/>
      <c r="G258" s="12"/>
      <c r="H258" s="12"/>
      <c r="I258" s="48"/>
      <c r="J258" s="56">
        <f t="shared" si="705"/>
        <v>0</v>
      </c>
      <c r="M258" s="47"/>
      <c r="N258" s="47"/>
      <c r="O258" s="47"/>
      <c r="P258" s="47"/>
      <c r="AR258" s="86"/>
      <c r="AT258"/>
    </row>
    <row r="259" spans="1:46" ht="14.25" customHeight="1">
      <c r="A259" s="23">
        <v>10</v>
      </c>
      <c r="B259" s="73" t="s">
        <v>270</v>
      </c>
      <c r="C259" s="70"/>
      <c r="D259" s="62"/>
      <c r="E259" s="106"/>
      <c r="F259" s="50"/>
      <c r="G259" s="12"/>
      <c r="H259" s="12"/>
      <c r="I259" s="48"/>
      <c r="J259" s="56">
        <f t="shared" si="705"/>
        <v>0</v>
      </c>
      <c r="M259" s="47"/>
      <c r="N259" s="47"/>
      <c r="O259" s="47"/>
      <c r="P259" s="47"/>
      <c r="AR259" s="86"/>
      <c r="AT259"/>
    </row>
    <row r="260" spans="1:46" ht="14.25" customHeight="1">
      <c r="A260" s="23">
        <v>11</v>
      </c>
      <c r="B260" s="73" t="s">
        <v>271</v>
      </c>
      <c r="C260" s="70"/>
      <c r="D260" s="62"/>
      <c r="E260" s="106"/>
      <c r="F260" s="108"/>
      <c r="G260" s="49"/>
      <c r="H260" s="49"/>
      <c r="I260" s="44"/>
      <c r="J260" s="56">
        <f t="shared" si="705"/>
        <v>0</v>
      </c>
      <c r="M260" s="47"/>
      <c r="N260" s="47"/>
      <c r="O260" s="47"/>
      <c r="P260" s="47"/>
      <c r="AR260" s="86"/>
      <c r="AT260"/>
    </row>
    <row r="261" spans="1:46" ht="14.25" customHeight="1">
      <c r="A261" s="23">
        <v>12</v>
      </c>
      <c r="B261" s="73" t="s">
        <v>272</v>
      </c>
      <c r="C261" s="70"/>
      <c r="D261" s="62">
        <f>AS1128</f>
        <v>0</v>
      </c>
      <c r="E261" s="106"/>
      <c r="F261" s="109">
        <f>DK128</f>
        <v>0</v>
      </c>
      <c r="G261" s="53">
        <f>DM128</f>
        <v>0</v>
      </c>
      <c r="H261" s="53">
        <f>DO128</f>
        <v>0</v>
      </c>
      <c r="I261" s="118">
        <f>DQ128</f>
        <v>0</v>
      </c>
      <c r="J261" s="56">
        <f t="shared" si="705"/>
        <v>0</v>
      </c>
      <c r="M261" s="47"/>
      <c r="N261" s="47"/>
      <c r="O261" s="47"/>
      <c r="P261" s="47"/>
      <c r="AR261" s="86"/>
      <c r="AT261"/>
    </row>
    <row r="262" spans="1:46" ht="14.25" customHeight="1">
      <c r="A262" s="23">
        <v>13</v>
      </c>
      <c r="B262" s="73" t="s">
        <v>273</v>
      </c>
      <c r="C262" s="70"/>
      <c r="D262" s="62">
        <f>AS71</f>
        <v>3</v>
      </c>
      <c r="E262" s="106"/>
      <c r="F262" s="109">
        <f>DK71</f>
        <v>2</v>
      </c>
      <c r="G262" s="53">
        <f>DM71</f>
        <v>0</v>
      </c>
      <c r="H262" s="53">
        <f>DO71</f>
        <v>0</v>
      </c>
      <c r="I262" s="118">
        <f>DQ71</f>
        <v>0</v>
      </c>
      <c r="J262" s="56">
        <f t="shared" si="705"/>
        <v>2</v>
      </c>
      <c r="M262" s="47"/>
      <c r="N262" s="47"/>
      <c r="O262" s="47"/>
      <c r="P262" s="47"/>
      <c r="AR262" s="86"/>
      <c r="AT262"/>
    </row>
    <row r="263" spans="1:46" ht="14.25" customHeight="1">
      <c r="A263" s="23">
        <v>14</v>
      </c>
      <c r="B263" s="73" t="s">
        <v>274</v>
      </c>
      <c r="C263" s="70"/>
      <c r="D263" s="62"/>
      <c r="E263" s="106"/>
      <c r="F263" s="109"/>
      <c r="G263" s="53"/>
      <c r="H263" s="53"/>
      <c r="I263" s="118"/>
      <c r="J263" s="56">
        <f t="shared" si="705"/>
        <v>0</v>
      </c>
      <c r="M263" s="47"/>
      <c r="N263" s="47"/>
      <c r="O263" s="47"/>
      <c r="P263" s="47"/>
      <c r="AR263" s="86"/>
      <c r="AT263"/>
    </row>
    <row r="264" spans="1:46" ht="14.25" customHeight="1">
      <c r="A264" s="23">
        <v>15</v>
      </c>
      <c r="B264" s="73" t="s">
        <v>275</v>
      </c>
      <c r="C264" s="70"/>
      <c r="D264" s="62">
        <f>AS70</f>
        <v>4</v>
      </c>
      <c r="E264" s="106"/>
      <c r="F264" s="109">
        <f>DK70</f>
        <v>0</v>
      </c>
      <c r="G264" s="53">
        <f>DM70</f>
        <v>0</v>
      </c>
      <c r="H264" s="53">
        <f>DO70</f>
        <v>0</v>
      </c>
      <c r="I264" s="118">
        <f>DQ70</f>
        <v>0</v>
      </c>
      <c r="J264" s="56">
        <f t="shared" si="705"/>
        <v>0</v>
      </c>
      <c r="M264" s="47"/>
      <c r="N264" s="47"/>
      <c r="O264" s="47"/>
      <c r="P264" s="47"/>
      <c r="AR264" s="86"/>
      <c r="AT264"/>
    </row>
    <row r="265" spans="1:46" ht="14.25" customHeight="1">
      <c r="A265" s="23">
        <v>16</v>
      </c>
      <c r="B265" s="73" t="s">
        <v>276</v>
      </c>
      <c r="C265" s="70"/>
      <c r="D265" s="62"/>
      <c r="E265" s="106"/>
      <c r="F265" s="109"/>
      <c r="G265" s="53"/>
      <c r="H265" s="53"/>
      <c r="I265" s="118"/>
      <c r="J265" s="56">
        <f t="shared" si="705"/>
        <v>0</v>
      </c>
      <c r="M265" s="47"/>
      <c r="N265" s="47"/>
      <c r="O265" s="47"/>
      <c r="P265" s="47"/>
      <c r="AR265" s="86"/>
      <c r="AT265"/>
    </row>
    <row r="266" spans="1:46" ht="14.25" customHeight="1">
      <c r="A266" s="23">
        <v>17</v>
      </c>
      <c r="B266" s="73" t="s">
        <v>277</v>
      </c>
      <c r="C266" s="70"/>
      <c r="D266" s="62"/>
      <c r="E266" s="106"/>
      <c r="F266" s="109"/>
      <c r="G266" s="53"/>
      <c r="H266" s="53"/>
      <c r="I266" s="118"/>
      <c r="J266" s="56">
        <f t="shared" si="705"/>
        <v>0</v>
      </c>
      <c r="M266" s="47"/>
      <c r="N266" s="47"/>
      <c r="O266" s="47"/>
      <c r="P266" s="47"/>
      <c r="AR266" s="86"/>
      <c r="AT266"/>
    </row>
    <row r="267" spans="1:46" ht="14.25" customHeight="1">
      <c r="A267" s="23">
        <v>18</v>
      </c>
      <c r="B267" s="73" t="s">
        <v>278</v>
      </c>
      <c r="C267" s="70"/>
      <c r="D267" s="62">
        <f>AS83</f>
        <v>3</v>
      </c>
      <c r="E267" s="106"/>
      <c r="F267" s="109">
        <f>DK83</f>
        <v>0</v>
      </c>
      <c r="G267" s="53">
        <f>DM83</f>
        <v>1</v>
      </c>
      <c r="H267" s="53">
        <f>DO83</f>
        <v>0</v>
      </c>
      <c r="I267" s="118">
        <f>DQ83</f>
        <v>0</v>
      </c>
      <c r="J267" s="56">
        <f t="shared" si="705"/>
        <v>1</v>
      </c>
      <c r="M267" s="47"/>
      <c r="N267" s="47"/>
      <c r="O267" s="47"/>
      <c r="P267" s="47"/>
      <c r="AR267" s="86"/>
      <c r="AT267"/>
    </row>
    <row r="268" spans="1:46" ht="14.25" customHeight="1">
      <c r="A268" s="23">
        <v>19</v>
      </c>
      <c r="B268" s="73" t="s">
        <v>279</v>
      </c>
      <c r="C268" s="70"/>
      <c r="D268" s="62">
        <f>AS129</f>
        <v>0</v>
      </c>
      <c r="E268" s="106"/>
      <c r="F268" s="109">
        <f>DK129</f>
        <v>0</v>
      </c>
      <c r="G268" s="53">
        <f>DM129</f>
        <v>0</v>
      </c>
      <c r="H268" s="53">
        <f>DO129</f>
        <v>0</v>
      </c>
      <c r="I268" s="118">
        <f>DQ129</f>
        <v>0</v>
      </c>
      <c r="J268" s="56">
        <f t="shared" si="705"/>
        <v>0</v>
      </c>
      <c r="M268" s="47"/>
      <c r="N268" s="47"/>
      <c r="O268" s="47"/>
      <c r="P268" s="47"/>
      <c r="AR268" s="86"/>
      <c r="AT268"/>
    </row>
    <row r="269" spans="1:46" ht="14.25" customHeight="1">
      <c r="A269" s="23">
        <v>20</v>
      </c>
      <c r="B269" s="73" t="s">
        <v>280</v>
      </c>
      <c r="C269" s="70"/>
      <c r="D269" s="62"/>
      <c r="E269" s="106"/>
      <c r="F269" s="109"/>
      <c r="G269" s="53"/>
      <c r="H269" s="53"/>
      <c r="I269" s="118"/>
      <c r="J269" s="56">
        <f t="shared" si="705"/>
        <v>0</v>
      </c>
      <c r="M269" s="47"/>
      <c r="N269" s="47"/>
      <c r="O269" s="47"/>
      <c r="P269" s="47"/>
      <c r="AR269" s="86"/>
      <c r="AT269"/>
    </row>
    <row r="270" spans="1:46" ht="14.25" customHeight="1">
      <c r="A270" s="23">
        <v>21</v>
      </c>
      <c r="B270" s="83" t="s">
        <v>214</v>
      </c>
      <c r="C270" s="70"/>
      <c r="D270" s="62"/>
      <c r="E270" s="106"/>
      <c r="F270" s="109"/>
      <c r="G270" s="53"/>
      <c r="H270" s="53"/>
      <c r="I270" s="118"/>
      <c r="J270" s="56">
        <f t="shared" si="705"/>
        <v>0</v>
      </c>
      <c r="M270" s="47"/>
      <c r="N270" s="47"/>
      <c r="O270" s="47"/>
      <c r="P270" s="47"/>
      <c r="AR270" s="86"/>
      <c r="AT270"/>
    </row>
    <row r="271" spans="1:46" ht="14.25" customHeight="1">
      <c r="A271" s="23">
        <v>22</v>
      </c>
      <c r="B271" s="83" t="s">
        <v>281</v>
      </c>
      <c r="C271" s="70"/>
      <c r="D271" s="62">
        <f>AS189</f>
        <v>1</v>
      </c>
      <c r="E271" s="106"/>
      <c r="F271" s="109">
        <f>DK189</f>
        <v>0</v>
      </c>
      <c r="G271" s="53">
        <f>DM189</f>
        <v>0</v>
      </c>
      <c r="H271" s="53">
        <f>DO189</f>
        <v>0</v>
      </c>
      <c r="I271" s="118">
        <f>DQ189</f>
        <v>0</v>
      </c>
      <c r="J271" s="56">
        <f t="shared" si="705"/>
        <v>0</v>
      </c>
      <c r="M271" s="47"/>
      <c r="N271" s="47"/>
      <c r="O271" s="47"/>
      <c r="P271" s="47"/>
      <c r="AR271" s="86"/>
      <c r="AT271"/>
    </row>
    <row r="272" spans="1:46" ht="14.25" customHeight="1">
      <c r="A272" s="23">
        <v>23</v>
      </c>
      <c r="B272" s="83" t="s">
        <v>282</v>
      </c>
      <c r="C272" s="70"/>
      <c r="D272" s="62">
        <f>AS190</f>
        <v>0</v>
      </c>
      <c r="E272" s="106"/>
      <c r="F272" s="109">
        <f>DK190</f>
        <v>3</v>
      </c>
      <c r="G272" s="53">
        <f>DM190</f>
        <v>4</v>
      </c>
      <c r="H272" s="53">
        <f>DO190</f>
        <v>0</v>
      </c>
      <c r="I272" s="118">
        <f>DQ190</f>
        <v>0</v>
      </c>
      <c r="J272" s="56">
        <f t="shared" si="705"/>
        <v>7</v>
      </c>
      <c r="M272" s="47"/>
      <c r="N272" s="47"/>
      <c r="O272" s="47"/>
      <c r="P272" s="47"/>
      <c r="AR272" s="86"/>
      <c r="AT272"/>
    </row>
    <row r="273" spans="1:46" ht="15" customHeight="1">
      <c r="M273" s="46"/>
      <c r="N273" s="46"/>
      <c r="O273" s="46"/>
      <c r="P273" s="46"/>
      <c r="AR273" s="86"/>
      <c r="AT273"/>
    </row>
    <row r="274" spans="1:46" ht="15" customHeight="1">
      <c r="A274" s="59" t="s">
        <v>5</v>
      </c>
      <c r="B274" s="85" t="s">
        <v>354</v>
      </c>
      <c r="C274" s="199" t="s">
        <v>358</v>
      </c>
      <c r="D274" s="200"/>
      <c r="E274" s="106" t="s">
        <v>371</v>
      </c>
      <c r="F274" s="60" t="s">
        <v>283</v>
      </c>
      <c r="G274" s="60" t="s">
        <v>284</v>
      </c>
      <c r="H274" s="60" t="s">
        <v>20</v>
      </c>
      <c r="I274" s="60" t="s">
        <v>21</v>
      </c>
      <c r="J274" s="60" t="s">
        <v>374</v>
      </c>
      <c r="M274" s="60" t="s">
        <v>283</v>
      </c>
      <c r="N274" s="60" t="s">
        <v>284</v>
      </c>
      <c r="O274" s="60" t="s">
        <v>20</v>
      </c>
      <c r="P274" s="60" t="s">
        <v>21</v>
      </c>
      <c r="Q274" s="60" t="s">
        <v>374</v>
      </c>
      <c r="AR274" s="86"/>
      <c r="AT274"/>
    </row>
    <row r="275" spans="1:46" ht="15" customHeight="1">
      <c r="A275" s="56">
        <v>1</v>
      </c>
      <c r="B275" s="47" t="s">
        <v>355</v>
      </c>
      <c r="C275" s="84"/>
      <c r="D275" s="47">
        <f>AS187</f>
        <v>16</v>
      </c>
      <c r="E275" s="106"/>
      <c r="F275" s="47">
        <f>DK187</f>
        <v>6</v>
      </c>
      <c r="G275" s="47">
        <f>DM187</f>
        <v>2</v>
      </c>
      <c r="H275" s="47">
        <f>DO187</f>
        <v>1</v>
      </c>
      <c r="I275" s="47">
        <f>DQ187</f>
        <v>0</v>
      </c>
      <c r="J275" s="56">
        <f>SUM(F275:I275)</f>
        <v>9</v>
      </c>
      <c r="M275" s="47">
        <f>F275*100</f>
        <v>600</v>
      </c>
      <c r="N275" s="47">
        <f>G275*100</f>
        <v>200</v>
      </c>
      <c r="O275" s="47">
        <f>H275*100</f>
        <v>100</v>
      </c>
      <c r="P275" s="47">
        <f>I275*100</f>
        <v>0</v>
      </c>
      <c r="Q275" s="47">
        <f>SUM(M275:P275)</f>
        <v>900</v>
      </c>
      <c r="AR275" s="86"/>
      <c r="AT275"/>
    </row>
    <row r="276" spans="1:46" ht="15" customHeight="1">
      <c r="A276" s="56">
        <v>2</v>
      </c>
      <c r="B276" s="47" t="s">
        <v>356</v>
      </c>
      <c r="C276" s="84"/>
      <c r="D276" s="47">
        <f>AS178</f>
        <v>7</v>
      </c>
      <c r="E276" s="106"/>
      <c r="F276" s="47">
        <f>DK178</f>
        <v>2</v>
      </c>
      <c r="G276" s="47">
        <f>DM178</f>
        <v>1</v>
      </c>
      <c r="H276" s="47">
        <f>DO178</f>
        <v>1</v>
      </c>
      <c r="I276" s="47">
        <f>DQ178</f>
        <v>0</v>
      </c>
      <c r="J276" s="56">
        <f t="shared" ref="J276:J277" si="706">SUM(F276:I276)</f>
        <v>4</v>
      </c>
      <c r="M276" s="47"/>
      <c r="N276" s="47"/>
      <c r="O276" s="47"/>
      <c r="P276" s="47"/>
      <c r="Q276" s="47"/>
      <c r="AR276" s="86"/>
      <c r="AT276"/>
    </row>
    <row r="277" spans="1:46" ht="15" customHeight="1">
      <c r="A277" s="56">
        <v>3</v>
      </c>
      <c r="B277" s="47" t="s">
        <v>357</v>
      </c>
      <c r="C277" s="84"/>
      <c r="D277" s="47">
        <f>AS180</f>
        <v>10</v>
      </c>
      <c r="E277" s="106"/>
      <c r="F277" s="47">
        <f>DK180</f>
        <v>0</v>
      </c>
      <c r="G277" s="47">
        <f>DM180</f>
        <v>1</v>
      </c>
      <c r="H277" s="47">
        <f>DO180</f>
        <v>0</v>
      </c>
      <c r="I277" s="47">
        <f>DQ180</f>
        <v>0</v>
      </c>
      <c r="J277" s="56">
        <f t="shared" si="706"/>
        <v>1</v>
      </c>
      <c r="M277" s="47"/>
      <c r="N277" s="47"/>
      <c r="O277" s="47"/>
      <c r="P277" s="47"/>
      <c r="Q277" s="47"/>
      <c r="AR277" s="86"/>
      <c r="AT277"/>
    </row>
  </sheetData>
  <mergeCells count="79">
    <mergeCell ref="F248:J248"/>
    <mergeCell ref="E248:E249"/>
    <mergeCell ref="C274:D274"/>
    <mergeCell ref="C193:D193"/>
    <mergeCell ref="C194:D194"/>
    <mergeCell ref="C206:D206"/>
    <mergeCell ref="C207:D207"/>
    <mergeCell ref="C215:D215"/>
    <mergeCell ref="C216:D216"/>
    <mergeCell ref="C234:D234"/>
    <mergeCell ref="C235:D235"/>
    <mergeCell ref="C248:D248"/>
    <mergeCell ref="C249:D249"/>
    <mergeCell ref="B214:D214"/>
    <mergeCell ref="B247:D247"/>
    <mergeCell ref="E234:E235"/>
    <mergeCell ref="DK1:DR2"/>
    <mergeCell ref="DS1:DT1"/>
    <mergeCell ref="DS2:DT2"/>
    <mergeCell ref="F3:I3"/>
    <mergeCell ref="B3:B4"/>
    <mergeCell ref="AY3:CC3"/>
    <mergeCell ref="AR1:DJ2"/>
    <mergeCell ref="CD3:DH3"/>
    <mergeCell ref="J3:AN3"/>
    <mergeCell ref="AU3:AX3"/>
    <mergeCell ref="DK3:DR3"/>
    <mergeCell ref="DS3:DT3"/>
    <mergeCell ref="AP1:AP2"/>
    <mergeCell ref="A1:AO2"/>
    <mergeCell ref="A3:A4"/>
    <mergeCell ref="DT23:DT24"/>
    <mergeCell ref="DT21:DT22"/>
    <mergeCell ref="DJ21:DJ22"/>
    <mergeCell ref="DJ23:DJ24"/>
    <mergeCell ref="DJ31:DJ33"/>
    <mergeCell ref="DT31:DT33"/>
    <mergeCell ref="DT150:DT151"/>
    <mergeCell ref="DT153:DT154"/>
    <mergeCell ref="DJ150:DJ151"/>
    <mergeCell ref="DT169:DT170"/>
    <mergeCell ref="DT108:DT109"/>
    <mergeCell ref="DJ108:DJ109"/>
    <mergeCell ref="DJ169:DJ170"/>
    <mergeCell ref="AP153:AP154"/>
    <mergeCell ref="AP169:AP170"/>
    <mergeCell ref="AQ153:AQ154"/>
    <mergeCell ref="DJ153:DJ154"/>
    <mergeCell ref="AP193:AQ193"/>
    <mergeCell ref="AQ169:AQ170"/>
    <mergeCell ref="AR193:AW193"/>
    <mergeCell ref="A206:A207"/>
    <mergeCell ref="A193:A194"/>
    <mergeCell ref="B205:D205"/>
    <mergeCell ref="E206:E207"/>
    <mergeCell ref="F234:J234"/>
    <mergeCell ref="E193:E194"/>
    <mergeCell ref="A234:A235"/>
    <mergeCell ref="B233:D233"/>
    <mergeCell ref="A215:A216"/>
    <mergeCell ref="E215:E216"/>
    <mergeCell ref="F193:J193"/>
    <mergeCell ref="F206:J206"/>
    <mergeCell ref="F215:J215"/>
    <mergeCell ref="AQ21:AQ22"/>
    <mergeCell ref="AQ31:AQ33"/>
    <mergeCell ref="AQ150:AQ151"/>
    <mergeCell ref="AQ108:AQ109"/>
    <mergeCell ref="AQ23:AQ24"/>
    <mergeCell ref="AP21:AP22"/>
    <mergeCell ref="AP23:AP24"/>
    <mergeCell ref="AP31:AP33"/>
    <mergeCell ref="AP150:AP151"/>
    <mergeCell ref="AP108:AP109"/>
    <mergeCell ref="M248:P248"/>
    <mergeCell ref="M215:P215"/>
    <mergeCell ref="M206:P206"/>
    <mergeCell ref="M193:P193"/>
    <mergeCell ref="M234:Q234"/>
  </mergeCells>
  <printOptions horizontalCentered="1"/>
  <pageMargins left="0.70866141732283472" right="0.70866141732283472" top="0.74803149606299213" bottom="0.74803149606299213" header="0" footer="0"/>
  <pageSetup orientation="portrait" blackAndWhite="1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31FE-D74D-43FC-9D7D-03123A290560}">
  <sheetPr>
    <pageSetUpPr fitToPage="1"/>
  </sheetPr>
  <dimension ref="A1:H30"/>
  <sheetViews>
    <sheetView view="pageBreakPreview" topLeftCell="A2" zoomScale="60" zoomScaleNormal="62" workbookViewId="0">
      <selection activeCell="D11" sqref="D11"/>
    </sheetView>
  </sheetViews>
  <sheetFormatPr defaultRowHeight="19.95" customHeight="1"/>
  <cols>
    <col min="1" max="1" width="8.6640625" customWidth="1"/>
    <col min="2" max="2" width="61.109375" customWidth="1"/>
    <col min="3" max="3" width="11.33203125" style="86" customWidth="1"/>
    <col min="4" max="5" width="9.88671875" customWidth="1"/>
    <col min="6" max="6" width="10" customWidth="1"/>
    <col min="7" max="7" width="10.77734375" customWidth="1"/>
    <col min="8" max="8" width="58.33203125" customWidth="1"/>
  </cols>
  <sheetData>
    <row r="1" spans="1:8" ht="37.200000000000003" customHeight="1">
      <c r="A1" s="205" t="s">
        <v>409</v>
      </c>
      <c r="B1" s="205"/>
      <c r="C1" s="205"/>
      <c r="D1" s="205"/>
      <c r="E1" s="205"/>
      <c r="F1" s="205"/>
      <c r="G1" s="205"/>
      <c r="H1" s="205"/>
    </row>
    <row r="2" spans="1:8" ht="40.049999999999997" customHeight="1">
      <c r="A2" s="204" t="s">
        <v>105</v>
      </c>
      <c r="B2" s="204"/>
      <c r="C2" s="204"/>
      <c r="D2" s="204" t="s">
        <v>339</v>
      </c>
      <c r="E2" s="204"/>
      <c r="F2" s="204"/>
      <c r="G2" s="204"/>
      <c r="H2" s="204"/>
    </row>
    <row r="3" spans="1:8" ht="40.049999999999997" customHeight="1">
      <c r="A3" s="87" t="s">
        <v>5</v>
      </c>
      <c r="B3" s="88" t="s">
        <v>220</v>
      </c>
      <c r="C3" s="88" t="s">
        <v>306</v>
      </c>
      <c r="D3" s="88" t="s">
        <v>283</v>
      </c>
      <c r="E3" s="88" t="s">
        <v>284</v>
      </c>
      <c r="F3" s="88" t="s">
        <v>20</v>
      </c>
      <c r="G3" s="88" t="s">
        <v>21</v>
      </c>
      <c r="H3" s="88" t="s">
        <v>368</v>
      </c>
    </row>
    <row r="4" spans="1:8" ht="40.049999999999997" customHeight="1">
      <c r="A4" s="90">
        <v>1</v>
      </c>
      <c r="B4" s="91" t="s">
        <v>307</v>
      </c>
      <c r="C4" s="90" t="s">
        <v>340</v>
      </c>
      <c r="D4" s="89"/>
      <c r="E4" s="89"/>
      <c r="F4" s="89"/>
      <c r="G4" s="89"/>
      <c r="H4" s="89"/>
    </row>
    <row r="5" spans="1:8" ht="40.049999999999997" customHeight="1">
      <c r="A5" s="90">
        <v>2</v>
      </c>
      <c r="B5" s="91" t="s">
        <v>309</v>
      </c>
      <c r="C5" s="90" t="s">
        <v>340</v>
      </c>
      <c r="D5" s="89"/>
      <c r="E5" s="89"/>
      <c r="F5" s="89"/>
      <c r="G5" s="89"/>
      <c r="H5" s="89"/>
    </row>
    <row r="6" spans="1:8" ht="40.049999999999997" customHeight="1">
      <c r="A6" s="90">
        <v>3</v>
      </c>
      <c r="B6" s="91" t="s">
        <v>310</v>
      </c>
      <c r="C6" s="90" t="s">
        <v>346</v>
      </c>
      <c r="D6" s="89"/>
      <c r="E6" s="89"/>
      <c r="F6" s="89"/>
      <c r="G6" s="89"/>
      <c r="H6" s="89"/>
    </row>
    <row r="7" spans="1:8" ht="40.049999999999997" customHeight="1">
      <c r="A7" s="90">
        <v>4</v>
      </c>
      <c r="B7" s="91" t="s">
        <v>312</v>
      </c>
      <c r="C7" s="90" t="s">
        <v>340</v>
      </c>
      <c r="D7" s="89"/>
      <c r="E7" s="89"/>
      <c r="F7" s="89"/>
      <c r="G7" s="89"/>
      <c r="H7" s="89"/>
    </row>
    <row r="8" spans="1:8" ht="40.049999999999997" customHeight="1">
      <c r="A8" s="90">
        <v>5</v>
      </c>
      <c r="B8" s="91" t="s">
        <v>313</v>
      </c>
      <c r="C8" s="90" t="s">
        <v>340</v>
      </c>
      <c r="D8" s="89"/>
      <c r="E8" s="89"/>
      <c r="F8" s="89"/>
      <c r="G8" s="89"/>
      <c r="H8" s="89"/>
    </row>
    <row r="9" spans="1:8" ht="40.049999999999997" customHeight="1">
      <c r="A9" s="90">
        <v>6</v>
      </c>
      <c r="B9" s="91" t="s">
        <v>314</v>
      </c>
      <c r="C9" s="90" t="s">
        <v>340</v>
      </c>
      <c r="D9" s="89"/>
      <c r="E9" s="89"/>
      <c r="F9" s="89"/>
      <c r="G9" s="89"/>
      <c r="H9" s="89"/>
    </row>
    <row r="10" spans="1:8" ht="40.049999999999997" customHeight="1">
      <c r="A10" s="90">
        <v>7</v>
      </c>
      <c r="B10" s="91" t="s">
        <v>315</v>
      </c>
      <c r="C10" s="90" t="s">
        <v>340</v>
      </c>
      <c r="D10" s="89"/>
      <c r="E10" s="89"/>
      <c r="F10" s="89"/>
      <c r="G10" s="89"/>
      <c r="H10" s="89"/>
    </row>
    <row r="11" spans="1:8" ht="40.049999999999997" customHeight="1">
      <c r="A11" s="90">
        <v>8</v>
      </c>
      <c r="B11" s="91" t="s">
        <v>316</v>
      </c>
      <c r="C11" s="90" t="s">
        <v>340</v>
      </c>
      <c r="D11" s="89"/>
      <c r="E11" s="89"/>
      <c r="F11" s="89"/>
      <c r="G11" s="89"/>
      <c r="H11" s="89"/>
    </row>
    <row r="12" spans="1:8" ht="40.049999999999997" customHeight="1">
      <c r="A12" s="90">
        <v>9</v>
      </c>
      <c r="B12" s="91" t="s">
        <v>317</v>
      </c>
      <c r="C12" s="90" t="s">
        <v>340</v>
      </c>
      <c r="D12" s="89"/>
      <c r="E12" s="89"/>
      <c r="F12" s="89"/>
      <c r="G12" s="89"/>
      <c r="H12" s="89"/>
    </row>
    <row r="13" spans="1:8" ht="40.049999999999997" customHeight="1">
      <c r="A13" s="90">
        <v>10</v>
      </c>
      <c r="B13" s="91" t="s">
        <v>318</v>
      </c>
      <c r="C13" s="90" t="s">
        <v>340</v>
      </c>
      <c r="D13" s="89"/>
      <c r="E13" s="89"/>
      <c r="F13" s="89"/>
      <c r="G13" s="89"/>
      <c r="H13" s="89"/>
    </row>
    <row r="14" spans="1:8" ht="40.049999999999997" customHeight="1">
      <c r="A14" s="90">
        <v>11</v>
      </c>
      <c r="B14" s="91" t="s">
        <v>319</v>
      </c>
      <c r="C14" s="90" t="s">
        <v>340</v>
      </c>
      <c r="D14" s="89"/>
      <c r="E14" s="89"/>
      <c r="F14" s="89"/>
      <c r="G14" s="89"/>
      <c r="H14" s="89"/>
    </row>
    <row r="15" spans="1:8" ht="40.049999999999997" customHeight="1">
      <c r="A15" s="90">
        <v>12</v>
      </c>
      <c r="B15" s="91" t="s">
        <v>275</v>
      </c>
      <c r="C15" s="90" t="s">
        <v>340</v>
      </c>
      <c r="D15" s="89"/>
      <c r="E15" s="89"/>
      <c r="F15" s="89"/>
      <c r="G15" s="89"/>
      <c r="H15" s="89"/>
    </row>
    <row r="16" spans="1:8" ht="40.049999999999997" customHeight="1">
      <c r="A16" s="90">
        <v>13</v>
      </c>
      <c r="B16" s="91" t="s">
        <v>321</v>
      </c>
      <c r="C16" s="90" t="s">
        <v>340</v>
      </c>
      <c r="D16" s="89"/>
      <c r="E16" s="89"/>
      <c r="F16" s="89"/>
      <c r="G16" s="89"/>
      <c r="H16" s="89"/>
    </row>
    <row r="17" spans="1:8" ht="40.049999999999997" customHeight="1">
      <c r="A17" s="90">
        <v>14</v>
      </c>
      <c r="B17" s="91" t="s">
        <v>322</v>
      </c>
      <c r="C17" s="90" t="s">
        <v>340</v>
      </c>
      <c r="D17" s="89"/>
      <c r="E17" s="89"/>
      <c r="F17" s="89"/>
      <c r="G17" s="89"/>
      <c r="H17" s="89"/>
    </row>
    <row r="18" spans="1:8" ht="40.049999999999997" customHeight="1">
      <c r="A18" s="90">
        <v>15</v>
      </c>
      <c r="B18" s="91" t="s">
        <v>324</v>
      </c>
      <c r="C18" s="90" t="s">
        <v>340</v>
      </c>
      <c r="D18" s="89"/>
      <c r="E18" s="89"/>
      <c r="F18" s="89"/>
      <c r="G18" s="89"/>
      <c r="H18" s="89"/>
    </row>
    <row r="19" spans="1:8" ht="40.049999999999997" customHeight="1">
      <c r="A19" s="90">
        <v>16</v>
      </c>
      <c r="B19" s="91" t="s">
        <v>325</v>
      </c>
      <c r="C19" s="90" t="s">
        <v>340</v>
      </c>
      <c r="D19" s="89"/>
      <c r="E19" s="89"/>
      <c r="F19" s="89"/>
      <c r="G19" s="89"/>
      <c r="H19" s="89"/>
    </row>
    <row r="20" spans="1:8" ht="40.049999999999997" customHeight="1">
      <c r="A20" s="90">
        <v>17</v>
      </c>
      <c r="B20" s="91" t="s">
        <v>326</v>
      </c>
      <c r="C20" s="90" t="s">
        <v>340</v>
      </c>
      <c r="D20" s="89"/>
      <c r="E20" s="89"/>
      <c r="F20" s="89"/>
      <c r="G20" s="89"/>
      <c r="H20" s="89"/>
    </row>
    <row r="21" spans="1:8" ht="40.049999999999997" customHeight="1">
      <c r="A21" s="90">
        <v>18</v>
      </c>
      <c r="B21" s="91" t="s">
        <v>327</v>
      </c>
      <c r="C21" s="90" t="s">
        <v>340</v>
      </c>
      <c r="D21" s="89"/>
      <c r="E21" s="89"/>
      <c r="F21" s="89"/>
      <c r="G21" s="89"/>
      <c r="H21" s="89"/>
    </row>
    <row r="22" spans="1:8" ht="40.049999999999997" customHeight="1">
      <c r="A22" s="90">
        <v>19</v>
      </c>
      <c r="B22" s="91" t="s">
        <v>328</v>
      </c>
      <c r="C22" s="90" t="s">
        <v>340</v>
      </c>
      <c r="D22" s="89"/>
      <c r="E22" s="89"/>
      <c r="F22" s="89"/>
      <c r="G22" s="89"/>
      <c r="H22" s="89"/>
    </row>
    <row r="23" spans="1:8" ht="40.049999999999997" customHeight="1">
      <c r="A23" s="90">
        <v>20</v>
      </c>
      <c r="B23" s="91" t="s">
        <v>329</v>
      </c>
      <c r="C23" s="90" t="s">
        <v>340</v>
      </c>
      <c r="D23" s="89"/>
      <c r="E23" s="89"/>
      <c r="F23" s="89"/>
      <c r="G23" s="89"/>
      <c r="H23" s="89"/>
    </row>
    <row r="24" spans="1:8" ht="40.049999999999997" customHeight="1">
      <c r="A24" s="90">
        <v>21</v>
      </c>
      <c r="B24" s="91" t="s">
        <v>330</v>
      </c>
      <c r="C24" s="90" t="s">
        <v>340</v>
      </c>
      <c r="D24" s="89"/>
      <c r="E24" s="89"/>
      <c r="F24" s="89"/>
      <c r="G24" s="89"/>
      <c r="H24" s="89"/>
    </row>
    <row r="25" spans="1:8" ht="40.049999999999997" customHeight="1">
      <c r="A25" s="90">
        <v>22</v>
      </c>
      <c r="B25" s="91" t="s">
        <v>331</v>
      </c>
      <c r="C25" s="90" t="s">
        <v>340</v>
      </c>
      <c r="D25" s="89"/>
      <c r="E25" s="89"/>
      <c r="F25" s="89"/>
      <c r="G25" s="89"/>
      <c r="H25" s="89"/>
    </row>
    <row r="26" spans="1:8" ht="40.049999999999997" customHeight="1">
      <c r="A26" s="90">
        <v>23</v>
      </c>
      <c r="B26" s="91" t="s">
        <v>332</v>
      </c>
      <c r="C26" s="90" t="s">
        <v>320</v>
      </c>
      <c r="D26" s="89"/>
      <c r="E26" s="89"/>
      <c r="F26" s="89"/>
      <c r="G26" s="89"/>
      <c r="H26" s="89"/>
    </row>
    <row r="27" spans="1:8" ht="40.049999999999997" customHeight="1">
      <c r="A27" s="90">
        <v>24</v>
      </c>
      <c r="B27" s="91" t="s">
        <v>333</v>
      </c>
      <c r="C27" s="90" t="s">
        <v>340</v>
      </c>
      <c r="D27" s="89"/>
      <c r="E27" s="89"/>
      <c r="F27" s="89"/>
      <c r="G27" s="89"/>
      <c r="H27" s="89"/>
    </row>
    <row r="28" spans="1:8" ht="40.049999999999997" customHeight="1">
      <c r="A28" s="90">
        <v>25</v>
      </c>
      <c r="B28" s="91" t="s">
        <v>334</v>
      </c>
      <c r="C28" s="90" t="s">
        <v>335</v>
      </c>
      <c r="D28" s="89"/>
      <c r="E28" s="89"/>
      <c r="F28" s="89"/>
      <c r="G28" s="89"/>
      <c r="H28" s="89"/>
    </row>
    <row r="29" spans="1:8" ht="40.049999999999997" customHeight="1">
      <c r="A29" s="90">
        <v>26</v>
      </c>
      <c r="B29" s="91" t="s">
        <v>366</v>
      </c>
      <c r="C29" s="90" t="s">
        <v>308</v>
      </c>
      <c r="D29" s="89"/>
      <c r="E29" s="89"/>
      <c r="F29" s="89"/>
      <c r="G29" s="89"/>
      <c r="H29" s="89"/>
    </row>
    <row r="30" spans="1:8" ht="40.049999999999997" customHeight="1">
      <c r="A30" s="90">
        <v>27</v>
      </c>
      <c r="B30" s="91" t="s">
        <v>367</v>
      </c>
      <c r="C30" s="90" t="s">
        <v>308</v>
      </c>
      <c r="D30" s="89"/>
      <c r="E30" s="89"/>
      <c r="F30" s="89"/>
      <c r="G30" s="89"/>
      <c r="H30" s="89"/>
    </row>
  </sheetData>
  <mergeCells count="3">
    <mergeCell ref="A2:C2"/>
    <mergeCell ref="D2:H2"/>
    <mergeCell ref="A1:H1"/>
  </mergeCells>
  <printOptions horizontalCentered="1"/>
  <pageMargins left="0.7" right="0.7" top="0.75" bottom="0.75" header="0.3" footer="0.3"/>
  <pageSetup paperSize="9" scale="48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26DD-C653-4862-AF6C-2790715FB9AF}">
  <dimension ref="A1:S72"/>
  <sheetViews>
    <sheetView view="pageBreakPreview" zoomScale="42" zoomScaleNormal="50" zoomScaleSheetLayoutView="42" workbookViewId="0">
      <selection activeCell="L1" sqref="L1:R1"/>
    </sheetView>
  </sheetViews>
  <sheetFormatPr defaultRowHeight="14.4"/>
  <cols>
    <col min="1" max="1" width="6.6640625" style="111" customWidth="1"/>
    <col min="2" max="3" width="8.88671875" style="111"/>
    <col min="4" max="4" width="62.21875" style="111" customWidth="1"/>
    <col min="5" max="5" width="13.33203125" style="111" bestFit="1" customWidth="1"/>
    <col min="6" max="9" width="5.5546875" style="111" bestFit="1" customWidth="1"/>
    <col min="10" max="10" width="54.77734375" style="111" customWidth="1"/>
    <col min="11" max="11" width="8.88671875" style="111"/>
    <col min="12" max="12" width="8.109375" style="111" customWidth="1"/>
    <col min="13" max="13" width="24.6640625" style="111" customWidth="1"/>
    <col min="14" max="14" width="8.88671875" style="111"/>
    <col min="15" max="15" width="48.44140625" style="111" customWidth="1"/>
    <col min="16" max="16" width="14.6640625" style="111" customWidth="1"/>
    <col min="17" max="17" width="9.77734375" style="111" customWidth="1"/>
    <col min="18" max="18" width="71.21875" style="111" customWidth="1"/>
    <col min="19" max="16384" width="8.88671875" style="111"/>
  </cols>
  <sheetData>
    <row r="1" spans="1:19" ht="40.049999999999997" customHeight="1">
      <c r="A1" s="206" t="s">
        <v>386</v>
      </c>
      <c r="B1" s="206"/>
      <c r="C1" s="206"/>
      <c r="D1" s="206"/>
      <c r="E1" s="206"/>
      <c r="F1" s="206"/>
      <c r="G1" s="206"/>
      <c r="H1" s="206"/>
      <c r="I1" s="206"/>
      <c r="J1" s="206"/>
      <c r="L1" s="206" t="s">
        <v>410</v>
      </c>
      <c r="M1" s="206"/>
      <c r="N1" s="206"/>
      <c r="O1" s="206"/>
      <c r="P1" s="206"/>
      <c r="Q1" s="206"/>
      <c r="R1" s="206"/>
    </row>
    <row r="2" spans="1:19" ht="40.049999999999997" customHeight="1">
      <c r="A2" s="210" t="s">
        <v>338</v>
      </c>
      <c r="B2" s="211"/>
      <c r="C2" s="211"/>
      <c r="D2" s="211"/>
      <c r="E2" s="211"/>
      <c r="F2" s="211" t="s">
        <v>358</v>
      </c>
      <c r="G2" s="211"/>
      <c r="H2" s="211"/>
      <c r="I2" s="211"/>
      <c r="J2" s="212"/>
      <c r="L2" s="210" t="s">
        <v>338</v>
      </c>
      <c r="M2" s="211"/>
      <c r="N2" s="211"/>
      <c r="O2" s="211"/>
      <c r="P2" s="211"/>
      <c r="Q2" s="211"/>
      <c r="R2" s="212"/>
    </row>
    <row r="3" spans="1:19" ht="40.049999999999997" customHeight="1">
      <c r="A3" s="110" t="s">
        <v>5</v>
      </c>
      <c r="B3" s="214" t="s">
        <v>220</v>
      </c>
      <c r="C3" s="215"/>
      <c r="D3" s="215"/>
      <c r="E3" s="110" t="s">
        <v>306</v>
      </c>
      <c r="F3" s="110" t="s">
        <v>283</v>
      </c>
      <c r="G3" s="110" t="s">
        <v>284</v>
      </c>
      <c r="H3" s="110" t="s">
        <v>20</v>
      </c>
      <c r="I3" s="110" t="s">
        <v>21</v>
      </c>
      <c r="J3" s="110" t="s">
        <v>368</v>
      </c>
      <c r="L3" s="110" t="s">
        <v>5</v>
      </c>
      <c r="M3" s="214" t="s">
        <v>220</v>
      </c>
      <c r="N3" s="215"/>
      <c r="O3" s="215"/>
      <c r="P3" s="110" t="s">
        <v>306</v>
      </c>
      <c r="Q3" s="110" t="s">
        <v>373</v>
      </c>
      <c r="R3" s="110" t="s">
        <v>368</v>
      </c>
    </row>
    <row r="4" spans="1:19" ht="40.049999999999997" customHeight="1">
      <c r="A4" s="112">
        <v>1</v>
      </c>
      <c r="B4" s="219" t="s">
        <v>221</v>
      </c>
      <c r="C4" s="219"/>
      <c r="D4" s="219"/>
      <c r="E4" s="112" t="s">
        <v>340</v>
      </c>
      <c r="F4" s="112"/>
      <c r="G4" s="112"/>
      <c r="H4" s="112"/>
      <c r="I4" s="112"/>
      <c r="J4" s="112"/>
      <c r="L4" s="90">
        <v>1</v>
      </c>
      <c r="M4" s="213" t="s">
        <v>221</v>
      </c>
      <c r="N4" s="213"/>
      <c r="O4" s="213"/>
      <c r="P4" s="90" t="s">
        <v>340</v>
      </c>
      <c r="Q4" s="90"/>
      <c r="R4" s="90"/>
      <c r="S4" s="52"/>
    </row>
    <row r="5" spans="1:19" ht="40.049999999999997" customHeight="1">
      <c r="A5" s="112">
        <v>2</v>
      </c>
      <c r="B5" s="219" t="s">
        <v>141</v>
      </c>
      <c r="C5" s="219"/>
      <c r="D5" s="219"/>
      <c r="E5" s="112" t="s">
        <v>340</v>
      </c>
      <c r="F5" s="112"/>
      <c r="G5" s="112"/>
      <c r="H5" s="112"/>
      <c r="I5" s="112"/>
      <c r="J5" s="112"/>
      <c r="L5" s="90">
        <v>2</v>
      </c>
      <c r="M5" s="213" t="s">
        <v>141</v>
      </c>
      <c r="N5" s="213"/>
      <c r="O5" s="213"/>
      <c r="P5" s="90" t="s">
        <v>340</v>
      </c>
      <c r="Q5" s="90"/>
      <c r="R5" s="90"/>
      <c r="S5" s="52"/>
    </row>
    <row r="6" spans="1:19" ht="40.049999999999997" customHeight="1">
      <c r="A6" s="112">
        <v>3</v>
      </c>
      <c r="B6" s="219" t="s">
        <v>140</v>
      </c>
      <c r="C6" s="219"/>
      <c r="D6" s="219"/>
      <c r="E6" s="112" t="s">
        <v>340</v>
      </c>
      <c r="F6" s="112"/>
      <c r="G6" s="112"/>
      <c r="H6" s="112"/>
      <c r="I6" s="112"/>
      <c r="J6" s="112"/>
      <c r="L6" s="90">
        <v>3</v>
      </c>
      <c r="M6" s="213" t="s">
        <v>140</v>
      </c>
      <c r="N6" s="213"/>
      <c r="O6" s="213"/>
      <c r="P6" s="90" t="s">
        <v>340</v>
      </c>
      <c r="Q6" s="90"/>
      <c r="R6" s="90"/>
      <c r="S6" s="52"/>
    </row>
    <row r="7" spans="1:19" ht="40.049999999999997" customHeight="1">
      <c r="A7" s="112">
        <v>4</v>
      </c>
      <c r="B7" s="219" t="s">
        <v>127</v>
      </c>
      <c r="C7" s="219"/>
      <c r="D7" s="219"/>
      <c r="E7" s="112" t="s">
        <v>340</v>
      </c>
      <c r="F7" s="112"/>
      <c r="G7" s="112"/>
      <c r="H7" s="112"/>
      <c r="I7" s="112"/>
      <c r="J7" s="112"/>
      <c r="L7" s="90">
        <v>4</v>
      </c>
      <c r="M7" s="213" t="s">
        <v>127</v>
      </c>
      <c r="N7" s="213"/>
      <c r="O7" s="213"/>
      <c r="P7" s="90" t="s">
        <v>340</v>
      </c>
      <c r="Q7" s="90">
        <v>1</v>
      </c>
      <c r="R7" s="90"/>
      <c r="S7" s="52"/>
    </row>
    <row r="8" spans="1:19" ht="40.049999999999997" customHeight="1">
      <c r="A8" s="112">
        <v>5</v>
      </c>
      <c r="B8" s="219" t="s">
        <v>222</v>
      </c>
      <c r="C8" s="219"/>
      <c r="D8" s="219"/>
      <c r="E8" s="112" t="s">
        <v>340</v>
      </c>
      <c r="F8" s="112"/>
      <c r="G8" s="112"/>
      <c r="H8" s="112"/>
      <c r="I8" s="112"/>
      <c r="J8" s="112"/>
      <c r="L8" s="90">
        <v>5</v>
      </c>
      <c r="M8" s="213" t="s">
        <v>222</v>
      </c>
      <c r="N8" s="213"/>
      <c r="O8" s="213"/>
      <c r="P8" s="90" t="s">
        <v>340</v>
      </c>
      <c r="Q8" s="90">
        <v>1</v>
      </c>
      <c r="R8" s="90"/>
      <c r="S8" s="52"/>
    </row>
    <row r="9" spans="1:19" ht="40.049999999999997" customHeight="1">
      <c r="A9" s="112">
        <v>6</v>
      </c>
      <c r="B9" s="219" t="s">
        <v>223</v>
      </c>
      <c r="C9" s="219"/>
      <c r="D9" s="219"/>
      <c r="E9" s="112" t="s">
        <v>340</v>
      </c>
      <c r="F9" s="112"/>
      <c r="G9" s="112"/>
      <c r="H9" s="112"/>
      <c r="I9" s="112"/>
      <c r="J9" s="112"/>
      <c r="L9" s="90">
        <v>6</v>
      </c>
      <c r="M9" s="213" t="s">
        <v>223</v>
      </c>
      <c r="N9" s="213"/>
      <c r="O9" s="213"/>
      <c r="P9" s="90" t="s">
        <v>340</v>
      </c>
      <c r="Q9" s="90">
        <v>1</v>
      </c>
      <c r="R9" s="90"/>
      <c r="S9" s="52"/>
    </row>
    <row r="10" spans="1:19" ht="40.049999999999997" customHeight="1">
      <c r="A10" s="112">
        <v>7</v>
      </c>
      <c r="B10" s="219" t="s">
        <v>224</v>
      </c>
      <c r="C10" s="219"/>
      <c r="D10" s="219"/>
      <c r="E10" s="112" t="s">
        <v>335</v>
      </c>
      <c r="F10" s="112"/>
      <c r="G10" s="112"/>
      <c r="H10" s="112"/>
      <c r="I10" s="112"/>
      <c r="J10" s="112"/>
      <c r="L10" s="90">
        <v>7</v>
      </c>
      <c r="M10" s="213" t="s">
        <v>224</v>
      </c>
      <c r="N10" s="213"/>
      <c r="O10" s="213"/>
      <c r="P10" s="90" t="s">
        <v>335</v>
      </c>
      <c r="Q10" s="90"/>
      <c r="R10" s="90"/>
      <c r="S10" s="52"/>
    </row>
    <row r="11" spans="1:19" ht="40.049999999999997" customHeight="1">
      <c r="A11" s="112">
        <v>8</v>
      </c>
      <c r="B11" s="219" t="s">
        <v>225</v>
      </c>
      <c r="C11" s="219"/>
      <c r="D11" s="219"/>
      <c r="E11" s="112" t="s">
        <v>340</v>
      </c>
      <c r="F11" s="112"/>
      <c r="G11" s="112"/>
      <c r="H11" s="112"/>
      <c r="I11" s="112"/>
      <c r="J11" s="112"/>
      <c r="L11" s="90">
        <v>8</v>
      </c>
      <c r="M11" s="213" t="s">
        <v>225</v>
      </c>
      <c r="N11" s="213"/>
      <c r="O11" s="213"/>
      <c r="P11" s="90" t="s">
        <v>350</v>
      </c>
      <c r="Q11" s="90"/>
      <c r="R11" s="90"/>
      <c r="S11" s="52"/>
    </row>
    <row r="12" spans="1:19" ht="40.049999999999997" customHeight="1">
      <c r="A12" s="112">
        <v>9</v>
      </c>
      <c r="B12" s="219" t="s">
        <v>226</v>
      </c>
      <c r="C12" s="219"/>
      <c r="D12" s="219"/>
      <c r="E12" s="112" t="s">
        <v>340</v>
      </c>
      <c r="F12" s="112"/>
      <c r="G12" s="112"/>
      <c r="H12" s="112"/>
      <c r="I12" s="112"/>
      <c r="J12" s="112"/>
      <c r="L12" s="90">
        <v>9</v>
      </c>
      <c r="M12" s="213" t="s">
        <v>226</v>
      </c>
      <c r="N12" s="213"/>
      <c r="O12" s="213"/>
      <c r="P12" s="90" t="s">
        <v>350</v>
      </c>
      <c r="Q12" s="90"/>
      <c r="R12" s="90"/>
      <c r="S12" s="52"/>
    </row>
    <row r="13" spans="1:19" ht="40.049999999999997" customHeight="1">
      <c r="A13" s="112">
        <v>10</v>
      </c>
      <c r="B13" s="219" t="s">
        <v>227</v>
      </c>
      <c r="C13" s="219"/>
      <c r="D13" s="219"/>
      <c r="E13" s="112" t="s">
        <v>341</v>
      </c>
      <c r="F13" s="112"/>
      <c r="G13" s="112"/>
      <c r="H13" s="112"/>
      <c r="I13" s="112"/>
      <c r="J13" s="112"/>
      <c r="L13" s="90">
        <v>10</v>
      </c>
      <c r="M13" s="213" t="s">
        <v>227</v>
      </c>
      <c r="N13" s="213"/>
      <c r="O13" s="213"/>
      <c r="P13" s="90" t="s">
        <v>341</v>
      </c>
      <c r="Q13" s="90"/>
      <c r="R13" s="90"/>
      <c r="S13" s="52"/>
    </row>
    <row r="14" spans="1:19" ht="40.049999999999997" customHeight="1">
      <c r="A14" s="112">
        <v>11</v>
      </c>
      <c r="B14" s="219" t="s">
        <v>229</v>
      </c>
      <c r="C14" s="219"/>
      <c r="D14" s="219"/>
      <c r="E14" s="112" t="s">
        <v>343</v>
      </c>
      <c r="F14" s="112"/>
      <c r="G14" s="112"/>
      <c r="H14" s="112"/>
      <c r="I14" s="112"/>
      <c r="J14" s="112"/>
      <c r="L14" s="90">
        <v>11</v>
      </c>
      <c r="M14" s="213" t="s">
        <v>229</v>
      </c>
      <c r="N14" s="213"/>
      <c r="O14" s="213"/>
      <c r="P14" s="90" t="s">
        <v>343</v>
      </c>
      <c r="Q14" s="90"/>
      <c r="R14" s="90"/>
      <c r="S14" s="52"/>
    </row>
    <row r="15" spans="1:19" ht="40.049999999999997" customHeight="1">
      <c r="A15" s="112">
        <v>12</v>
      </c>
      <c r="B15" s="219" t="s">
        <v>230</v>
      </c>
      <c r="C15" s="219"/>
      <c r="D15" s="219"/>
      <c r="E15" s="112" t="s">
        <v>343</v>
      </c>
      <c r="F15" s="112"/>
      <c r="G15" s="112"/>
      <c r="H15" s="112"/>
      <c r="I15" s="112"/>
      <c r="J15" s="112"/>
      <c r="L15" s="90">
        <v>12</v>
      </c>
      <c r="M15" s="213" t="s">
        <v>230</v>
      </c>
      <c r="N15" s="213"/>
      <c r="O15" s="213"/>
      <c r="P15" s="90" t="s">
        <v>343</v>
      </c>
      <c r="Q15" s="90"/>
      <c r="R15" s="90"/>
      <c r="S15" s="52"/>
    </row>
    <row r="16" spans="1:19" ht="40.049999999999997" customHeight="1">
      <c r="A16" s="112">
        <v>13</v>
      </c>
      <c r="B16" s="219" t="s">
        <v>228</v>
      </c>
      <c r="C16" s="219"/>
      <c r="D16" s="219"/>
      <c r="E16" s="112" t="s">
        <v>343</v>
      </c>
      <c r="F16" s="112"/>
      <c r="G16" s="112"/>
      <c r="H16" s="112"/>
      <c r="I16" s="112"/>
      <c r="J16" s="112"/>
      <c r="L16" s="90">
        <v>13</v>
      </c>
      <c r="M16" s="213" t="s">
        <v>228</v>
      </c>
      <c r="N16" s="213"/>
      <c r="O16" s="213"/>
      <c r="P16" s="90" t="s">
        <v>343</v>
      </c>
      <c r="Q16" s="90"/>
      <c r="R16" s="90"/>
      <c r="S16" s="52"/>
    </row>
    <row r="17" spans="1:19" ht="40.049999999999997" customHeight="1">
      <c r="A17" s="112">
        <v>14</v>
      </c>
      <c r="B17" s="219" t="s">
        <v>231</v>
      </c>
      <c r="C17" s="219"/>
      <c r="D17" s="219"/>
      <c r="E17" s="112" t="s">
        <v>343</v>
      </c>
      <c r="F17" s="112"/>
      <c r="G17" s="112"/>
      <c r="H17" s="112"/>
      <c r="I17" s="112"/>
      <c r="J17" s="112"/>
      <c r="L17" s="90">
        <v>14</v>
      </c>
      <c r="M17" s="213" t="s">
        <v>231</v>
      </c>
      <c r="N17" s="213"/>
      <c r="O17" s="213"/>
      <c r="P17" s="90" t="s">
        <v>343</v>
      </c>
      <c r="Q17" s="90"/>
      <c r="R17" s="90"/>
      <c r="S17" s="52"/>
    </row>
    <row r="18" spans="1:19" ht="40.049999999999997" customHeight="1">
      <c r="A18" s="112">
        <v>15</v>
      </c>
      <c r="B18" s="219" t="s">
        <v>232</v>
      </c>
      <c r="C18" s="219"/>
      <c r="D18" s="219"/>
      <c r="E18" s="112" t="s">
        <v>344</v>
      </c>
      <c r="F18" s="112"/>
      <c r="G18" s="112"/>
      <c r="H18" s="112"/>
      <c r="I18" s="112"/>
      <c r="J18" s="112"/>
      <c r="L18" s="90">
        <v>15</v>
      </c>
      <c r="M18" s="213" t="s">
        <v>232</v>
      </c>
      <c r="N18" s="213"/>
      <c r="O18" s="213"/>
      <c r="P18" s="90" t="s">
        <v>385</v>
      </c>
      <c r="Q18" s="90"/>
      <c r="R18" s="90"/>
      <c r="S18" s="52"/>
    </row>
    <row r="19" spans="1:19" ht="40.049999999999997" customHeight="1">
      <c r="A19" s="112">
        <v>16</v>
      </c>
      <c r="B19" s="219" t="s">
        <v>233</v>
      </c>
      <c r="C19" s="219"/>
      <c r="D19" s="219"/>
      <c r="E19" s="112" t="s">
        <v>345</v>
      </c>
      <c r="F19" s="112"/>
      <c r="G19" s="112"/>
      <c r="H19" s="112"/>
      <c r="I19" s="112"/>
      <c r="J19" s="112"/>
      <c r="L19" s="90">
        <v>16</v>
      </c>
      <c r="M19" s="213" t="s">
        <v>233</v>
      </c>
      <c r="N19" s="213"/>
      <c r="O19" s="213"/>
      <c r="P19" s="90" t="s">
        <v>345</v>
      </c>
      <c r="Q19" s="90"/>
      <c r="R19" s="90"/>
      <c r="S19" s="52"/>
    </row>
    <row r="20" spans="1:19" ht="40.049999999999997" customHeight="1">
      <c r="A20" s="112">
        <v>17</v>
      </c>
      <c r="B20" s="219" t="s">
        <v>235</v>
      </c>
      <c r="C20" s="219"/>
      <c r="D20" s="219"/>
      <c r="E20" s="112" t="s">
        <v>346</v>
      </c>
      <c r="F20" s="112"/>
      <c r="G20" s="112"/>
      <c r="H20" s="112"/>
      <c r="I20" s="112"/>
      <c r="J20" s="112"/>
      <c r="L20" s="90">
        <v>17</v>
      </c>
      <c r="M20" s="213" t="s">
        <v>235</v>
      </c>
      <c r="N20" s="213"/>
      <c r="O20" s="213"/>
      <c r="P20" s="90" t="s">
        <v>346</v>
      </c>
      <c r="Q20" s="90">
        <v>10</v>
      </c>
      <c r="R20" s="90"/>
      <c r="S20" s="52"/>
    </row>
    <row r="21" spans="1:19" ht="40.049999999999997" customHeight="1">
      <c r="A21" s="112">
        <v>18</v>
      </c>
      <c r="B21" s="219" t="s">
        <v>236</v>
      </c>
      <c r="C21" s="219"/>
      <c r="D21" s="219"/>
      <c r="E21" s="112" t="s">
        <v>344</v>
      </c>
      <c r="F21" s="112"/>
      <c r="G21" s="112"/>
      <c r="H21" s="112"/>
      <c r="I21" s="112"/>
      <c r="J21" s="112"/>
      <c r="L21" s="90">
        <v>18</v>
      </c>
      <c r="M21" s="213" t="s">
        <v>236</v>
      </c>
      <c r="N21" s="213"/>
      <c r="O21" s="213"/>
      <c r="P21" s="90" t="s">
        <v>385</v>
      </c>
      <c r="Q21" s="90"/>
      <c r="R21" s="90"/>
      <c r="S21" s="52"/>
    </row>
    <row r="22" spans="1:19" ht="40.049999999999997" customHeight="1">
      <c r="A22" s="112">
        <v>19</v>
      </c>
      <c r="B22" s="219" t="s">
        <v>237</v>
      </c>
      <c r="C22" s="219"/>
      <c r="D22" s="219"/>
      <c r="E22" s="112" t="s">
        <v>308</v>
      </c>
      <c r="F22" s="112"/>
      <c r="G22" s="112"/>
      <c r="H22" s="112"/>
      <c r="I22" s="112"/>
      <c r="J22" s="112"/>
      <c r="L22" s="90">
        <v>19</v>
      </c>
      <c r="M22" s="213" t="s">
        <v>237</v>
      </c>
      <c r="N22" s="213"/>
      <c r="O22" s="213"/>
      <c r="P22" s="90" t="s">
        <v>385</v>
      </c>
      <c r="Q22" s="90"/>
      <c r="R22" s="90"/>
      <c r="S22" s="52"/>
    </row>
    <row r="23" spans="1:19" ht="40.049999999999997" customHeight="1">
      <c r="A23" s="112">
        <v>20</v>
      </c>
      <c r="B23" s="219" t="s">
        <v>238</v>
      </c>
      <c r="C23" s="219"/>
      <c r="D23" s="219"/>
      <c r="E23" s="112" t="s">
        <v>342</v>
      </c>
      <c r="F23" s="112"/>
      <c r="G23" s="112"/>
      <c r="H23" s="112"/>
      <c r="I23" s="112"/>
      <c r="J23" s="112"/>
      <c r="L23" s="90">
        <v>20</v>
      </c>
      <c r="M23" s="213" t="s">
        <v>238</v>
      </c>
      <c r="N23" s="213"/>
      <c r="O23" s="213"/>
      <c r="P23" s="90" t="s">
        <v>342</v>
      </c>
      <c r="Q23" s="90">
        <v>20</v>
      </c>
      <c r="R23" s="90"/>
      <c r="S23" s="52"/>
    </row>
    <row r="24" spans="1:19" ht="40.049999999999997" customHeight="1">
      <c r="A24" s="112">
        <v>21</v>
      </c>
      <c r="B24" s="219" t="s">
        <v>239</v>
      </c>
      <c r="C24" s="219"/>
      <c r="D24" s="219"/>
      <c r="E24" s="112" t="s">
        <v>308</v>
      </c>
      <c r="F24" s="112"/>
      <c r="G24" s="112"/>
      <c r="H24" s="112"/>
      <c r="I24" s="112"/>
      <c r="J24" s="112"/>
      <c r="L24" s="90">
        <v>21</v>
      </c>
      <c r="M24" s="213" t="s">
        <v>239</v>
      </c>
      <c r="N24" s="213"/>
      <c r="O24" s="213"/>
      <c r="P24" s="90" t="s">
        <v>385</v>
      </c>
      <c r="Q24" s="90"/>
      <c r="R24" s="90"/>
      <c r="S24" s="52"/>
    </row>
    <row r="25" spans="1:19" ht="40.049999999999997" customHeight="1">
      <c r="A25" s="112">
        <v>22</v>
      </c>
      <c r="B25" s="219" t="s">
        <v>240</v>
      </c>
      <c r="C25" s="219"/>
      <c r="D25" s="219"/>
      <c r="E25" s="112" t="s">
        <v>308</v>
      </c>
      <c r="F25" s="112"/>
      <c r="G25" s="112"/>
      <c r="H25" s="112"/>
      <c r="I25" s="112"/>
      <c r="J25" s="112"/>
      <c r="L25" s="90">
        <v>22</v>
      </c>
      <c r="M25" s="213" t="s">
        <v>240</v>
      </c>
      <c r="N25" s="213"/>
      <c r="O25" s="213"/>
      <c r="P25" s="90" t="s">
        <v>385</v>
      </c>
      <c r="Q25" s="90"/>
      <c r="R25" s="90"/>
      <c r="S25" s="52"/>
    </row>
    <row r="26" spans="1:19" ht="40.049999999999997" customHeight="1">
      <c r="A26" s="112">
        <v>23</v>
      </c>
      <c r="B26" s="219" t="s">
        <v>241</v>
      </c>
      <c r="C26" s="219"/>
      <c r="D26" s="219"/>
      <c r="E26" s="112" t="s">
        <v>308</v>
      </c>
      <c r="F26" s="112"/>
      <c r="G26" s="112"/>
      <c r="H26" s="112"/>
      <c r="I26" s="112"/>
      <c r="J26" s="112"/>
      <c r="L26" s="90">
        <v>23</v>
      </c>
      <c r="M26" s="213" t="s">
        <v>241</v>
      </c>
      <c r="N26" s="213"/>
      <c r="O26" s="213"/>
      <c r="P26" s="90" t="s">
        <v>385</v>
      </c>
      <c r="Q26" s="90"/>
      <c r="R26" s="90"/>
      <c r="S26" s="52"/>
    </row>
    <row r="27" spans="1:19" ht="40.049999999999997" customHeight="1">
      <c r="A27" s="112">
        <v>24</v>
      </c>
      <c r="B27" s="219" t="s">
        <v>348</v>
      </c>
      <c r="C27" s="219"/>
      <c r="D27" s="219"/>
      <c r="E27" s="112" t="s">
        <v>308</v>
      </c>
      <c r="F27" s="112"/>
      <c r="G27" s="112"/>
      <c r="H27" s="112"/>
      <c r="I27" s="112"/>
      <c r="J27" s="112"/>
      <c r="L27" s="90">
        <v>24</v>
      </c>
      <c r="M27" s="213" t="s">
        <v>348</v>
      </c>
      <c r="N27" s="213"/>
      <c r="O27" s="213"/>
      <c r="P27" s="90" t="s">
        <v>385</v>
      </c>
      <c r="Q27" s="90"/>
      <c r="R27" s="90"/>
      <c r="S27" s="52"/>
    </row>
    <row r="28" spans="1:19" ht="40.049999999999997" customHeight="1">
      <c r="A28" s="112">
        <v>25</v>
      </c>
      <c r="B28" s="219" t="s">
        <v>349</v>
      </c>
      <c r="C28" s="219"/>
      <c r="D28" s="219"/>
      <c r="E28" s="112" t="s">
        <v>308</v>
      </c>
      <c r="F28" s="112"/>
      <c r="G28" s="112"/>
      <c r="H28" s="112"/>
      <c r="I28" s="112"/>
      <c r="J28" s="112"/>
      <c r="L28" s="90">
        <v>25</v>
      </c>
      <c r="M28" s="213" t="s">
        <v>349</v>
      </c>
      <c r="N28" s="213"/>
      <c r="O28" s="213"/>
      <c r="P28" s="90" t="s">
        <v>385</v>
      </c>
      <c r="Q28" s="90"/>
      <c r="R28" s="90"/>
      <c r="S28" s="52"/>
    </row>
    <row r="29" spans="1:19" ht="40.049999999999997" customHeight="1">
      <c r="A29" s="112">
        <v>26</v>
      </c>
      <c r="B29" s="219" t="s">
        <v>244</v>
      </c>
      <c r="C29" s="219"/>
      <c r="D29" s="219"/>
      <c r="E29" s="112" t="s">
        <v>342</v>
      </c>
      <c r="F29" s="112"/>
      <c r="G29" s="112"/>
      <c r="H29" s="112"/>
      <c r="I29" s="112"/>
      <c r="J29" s="112"/>
      <c r="L29" s="90">
        <v>26</v>
      </c>
      <c r="M29" s="213" t="s">
        <v>244</v>
      </c>
      <c r="N29" s="213"/>
      <c r="O29" s="213"/>
      <c r="P29" s="90" t="s">
        <v>385</v>
      </c>
      <c r="Q29" s="90"/>
      <c r="R29" s="90"/>
      <c r="S29" s="52"/>
    </row>
    <row r="30" spans="1:19" ht="40.049999999999997" customHeight="1">
      <c r="A30" s="112">
        <v>27</v>
      </c>
      <c r="B30" s="219" t="s">
        <v>245</v>
      </c>
      <c r="C30" s="219"/>
      <c r="D30" s="219"/>
      <c r="E30" s="112" t="s">
        <v>342</v>
      </c>
      <c r="F30" s="112"/>
      <c r="G30" s="112"/>
      <c r="H30" s="112"/>
      <c r="I30" s="112"/>
      <c r="J30" s="112"/>
      <c r="L30" s="90">
        <v>27</v>
      </c>
      <c r="M30" s="213" t="s">
        <v>245</v>
      </c>
      <c r="N30" s="213"/>
      <c r="O30" s="213"/>
      <c r="P30" s="90" t="s">
        <v>385</v>
      </c>
      <c r="Q30" s="90"/>
      <c r="R30" s="90"/>
      <c r="S30" s="52"/>
    </row>
    <row r="31" spans="1:19" ht="40.049999999999997" customHeight="1">
      <c r="A31" s="112">
        <v>28</v>
      </c>
      <c r="B31" s="219" t="s">
        <v>246</v>
      </c>
      <c r="C31" s="219"/>
      <c r="D31" s="219"/>
      <c r="E31" s="112" t="s">
        <v>308</v>
      </c>
      <c r="F31" s="112"/>
      <c r="G31" s="112"/>
      <c r="H31" s="112"/>
      <c r="I31" s="112"/>
      <c r="J31" s="112"/>
      <c r="L31" s="90">
        <v>28</v>
      </c>
      <c r="M31" s="213" t="s">
        <v>246</v>
      </c>
      <c r="N31" s="213"/>
      <c r="O31" s="213"/>
      <c r="P31" s="90" t="s">
        <v>385</v>
      </c>
      <c r="Q31" s="90"/>
      <c r="R31" s="90"/>
      <c r="S31" s="52"/>
    </row>
    <row r="32" spans="1:19" ht="40.049999999999997" customHeight="1">
      <c r="A32" s="112">
        <v>29</v>
      </c>
      <c r="B32" s="219" t="s">
        <v>247</v>
      </c>
      <c r="C32" s="219"/>
      <c r="D32" s="219"/>
      <c r="E32" s="112" t="s">
        <v>308</v>
      </c>
      <c r="F32" s="112"/>
      <c r="G32" s="112"/>
      <c r="H32" s="112"/>
      <c r="I32" s="112"/>
      <c r="J32" s="112"/>
      <c r="L32" s="90">
        <v>29</v>
      </c>
      <c r="M32" s="213" t="s">
        <v>247</v>
      </c>
      <c r="N32" s="213"/>
      <c r="O32" s="213"/>
      <c r="P32" s="90" t="s">
        <v>385</v>
      </c>
      <c r="Q32" s="90"/>
      <c r="R32" s="90"/>
      <c r="S32" s="52"/>
    </row>
    <row r="33" spans="1:19" ht="40.049999999999997" customHeight="1">
      <c r="A33" s="112">
        <v>30</v>
      </c>
      <c r="B33" s="219" t="s">
        <v>248</v>
      </c>
      <c r="C33" s="219"/>
      <c r="D33" s="219"/>
      <c r="E33" s="112" t="s">
        <v>308</v>
      </c>
      <c r="F33" s="112"/>
      <c r="G33" s="112"/>
      <c r="H33" s="112"/>
      <c r="I33" s="112"/>
      <c r="J33" s="112"/>
      <c r="L33" s="90">
        <v>30</v>
      </c>
      <c r="M33" s="213" t="s">
        <v>248</v>
      </c>
      <c r="N33" s="213"/>
      <c r="O33" s="213"/>
      <c r="P33" s="90" t="s">
        <v>385</v>
      </c>
      <c r="Q33" s="90"/>
      <c r="R33" s="90"/>
      <c r="S33" s="52"/>
    </row>
    <row r="34" spans="1:19" ht="40.049999999999997" customHeight="1">
      <c r="A34" s="112">
        <v>31</v>
      </c>
      <c r="B34" s="219" t="s">
        <v>249</v>
      </c>
      <c r="C34" s="219"/>
      <c r="D34" s="219"/>
      <c r="E34" s="112" t="s">
        <v>308</v>
      </c>
      <c r="F34" s="112"/>
      <c r="G34" s="112"/>
      <c r="H34" s="112"/>
      <c r="I34" s="112"/>
      <c r="J34" s="112"/>
      <c r="L34" s="90">
        <v>31</v>
      </c>
      <c r="M34" s="213" t="s">
        <v>249</v>
      </c>
      <c r="N34" s="213"/>
      <c r="O34" s="213"/>
      <c r="P34" s="90" t="s">
        <v>385</v>
      </c>
      <c r="Q34" s="90"/>
      <c r="R34" s="90"/>
      <c r="S34" s="52"/>
    </row>
    <row r="35" spans="1:19" ht="40.049999999999997" customHeight="1">
      <c r="A35" s="112">
        <v>32</v>
      </c>
      <c r="B35" s="219" t="s">
        <v>250</v>
      </c>
      <c r="C35" s="219"/>
      <c r="D35" s="219"/>
      <c r="E35" s="112" t="s">
        <v>308</v>
      </c>
      <c r="F35" s="112"/>
      <c r="G35" s="112"/>
      <c r="H35" s="112"/>
      <c r="I35" s="112"/>
      <c r="J35" s="112"/>
      <c r="L35" s="90">
        <v>32</v>
      </c>
      <c r="M35" s="213" t="s">
        <v>250</v>
      </c>
      <c r="N35" s="213"/>
      <c r="O35" s="213"/>
      <c r="P35" s="90" t="s">
        <v>385</v>
      </c>
      <c r="Q35" s="90"/>
      <c r="R35" s="90"/>
      <c r="S35" s="52"/>
    </row>
    <row r="36" spans="1:19" ht="40.049999999999997" customHeight="1">
      <c r="A36" s="112">
        <v>33</v>
      </c>
      <c r="B36" s="219" t="s">
        <v>252</v>
      </c>
      <c r="C36" s="219"/>
      <c r="D36" s="219"/>
      <c r="E36" s="112" t="s">
        <v>340</v>
      </c>
      <c r="F36" s="112"/>
      <c r="G36" s="112"/>
      <c r="H36" s="112"/>
      <c r="I36" s="112"/>
      <c r="J36" s="112"/>
      <c r="L36" s="90">
        <v>33</v>
      </c>
      <c r="M36" s="213" t="s">
        <v>252</v>
      </c>
      <c r="N36" s="213"/>
      <c r="O36" s="213"/>
      <c r="P36" s="90" t="s">
        <v>385</v>
      </c>
      <c r="Q36" s="90">
        <v>3</v>
      </c>
      <c r="R36" s="90"/>
      <c r="S36" s="52"/>
    </row>
    <row r="37" spans="1:19" ht="40.049999999999997" customHeight="1">
      <c r="A37" s="112">
        <v>34</v>
      </c>
      <c r="B37" s="219" t="s">
        <v>253</v>
      </c>
      <c r="C37" s="219"/>
      <c r="D37" s="219"/>
      <c r="E37" s="112" t="s">
        <v>340</v>
      </c>
      <c r="F37" s="112"/>
      <c r="G37" s="112"/>
      <c r="H37" s="112"/>
      <c r="I37" s="112"/>
      <c r="J37" s="112"/>
      <c r="L37" s="90">
        <v>34</v>
      </c>
      <c r="M37" s="213" t="s">
        <v>253</v>
      </c>
      <c r="N37" s="213"/>
      <c r="O37" s="213"/>
      <c r="P37" s="90" t="s">
        <v>385</v>
      </c>
      <c r="Q37" s="90"/>
      <c r="R37" s="90"/>
      <c r="S37" s="52"/>
    </row>
    <row r="38" spans="1:19" ht="40.049999999999997" customHeight="1">
      <c r="A38" s="112">
        <v>35</v>
      </c>
      <c r="B38" s="219" t="s">
        <v>254</v>
      </c>
      <c r="C38" s="219"/>
      <c r="D38" s="219"/>
      <c r="E38" s="112" t="s">
        <v>350</v>
      </c>
      <c r="F38" s="112"/>
      <c r="G38" s="112"/>
      <c r="H38" s="112"/>
      <c r="I38" s="112"/>
      <c r="J38" s="112"/>
      <c r="L38" s="90">
        <v>35</v>
      </c>
      <c r="M38" s="213" t="s">
        <v>254</v>
      </c>
      <c r="N38" s="213"/>
      <c r="O38" s="213"/>
      <c r="P38" s="90" t="s">
        <v>385</v>
      </c>
      <c r="Q38" s="90"/>
      <c r="R38" s="90"/>
      <c r="S38" s="52"/>
    </row>
    <row r="39" spans="1:19" ht="40.049999999999997" customHeight="1">
      <c r="A39" s="112">
        <v>36</v>
      </c>
      <c r="B39" s="219" t="s">
        <v>255</v>
      </c>
      <c r="C39" s="219"/>
      <c r="D39" s="219"/>
      <c r="E39" s="112" t="s">
        <v>308</v>
      </c>
      <c r="F39" s="112"/>
      <c r="G39" s="112"/>
      <c r="H39" s="112"/>
      <c r="I39" s="112"/>
      <c r="J39" s="112"/>
      <c r="L39" s="90">
        <v>36</v>
      </c>
      <c r="M39" s="213" t="s">
        <v>255</v>
      </c>
      <c r="N39" s="213"/>
      <c r="O39" s="213"/>
      <c r="P39" s="90" t="s">
        <v>385</v>
      </c>
      <c r="Q39" s="90"/>
      <c r="R39" s="90"/>
      <c r="S39" s="52"/>
    </row>
    <row r="40" spans="1:19" ht="40.049999999999997" customHeight="1">
      <c r="A40" s="112">
        <v>37</v>
      </c>
      <c r="B40" s="219" t="s">
        <v>256</v>
      </c>
      <c r="C40" s="219"/>
      <c r="D40" s="219"/>
      <c r="E40" s="112" t="s">
        <v>308</v>
      </c>
      <c r="F40" s="112"/>
      <c r="G40" s="112"/>
      <c r="H40" s="112"/>
      <c r="I40" s="112"/>
      <c r="J40" s="112"/>
      <c r="L40" s="90">
        <v>37</v>
      </c>
      <c r="M40" s="213" t="s">
        <v>256</v>
      </c>
      <c r="N40" s="213"/>
      <c r="O40" s="213"/>
      <c r="P40" s="90" t="s">
        <v>385</v>
      </c>
      <c r="Q40" s="90">
        <v>2</v>
      </c>
      <c r="R40" s="90"/>
      <c r="S40" s="52"/>
    </row>
    <row r="41" spans="1:19" ht="40.049999999999997" customHeight="1">
      <c r="A41" s="112">
        <v>38</v>
      </c>
      <c r="B41" s="219" t="s">
        <v>257</v>
      </c>
      <c r="C41" s="219"/>
      <c r="D41" s="219"/>
      <c r="E41" s="112" t="s">
        <v>308</v>
      </c>
      <c r="F41" s="112"/>
      <c r="G41" s="112"/>
      <c r="H41" s="112"/>
      <c r="I41" s="112"/>
      <c r="J41" s="112"/>
      <c r="L41" s="90">
        <v>38</v>
      </c>
      <c r="M41" s="213" t="s">
        <v>257</v>
      </c>
      <c r="N41" s="213"/>
      <c r="O41" s="213"/>
      <c r="P41" s="90" t="s">
        <v>385</v>
      </c>
      <c r="Q41" s="90"/>
      <c r="R41" s="90"/>
      <c r="S41" s="52"/>
    </row>
    <row r="42" spans="1:19" ht="40.049999999999997" customHeight="1">
      <c r="A42" s="112">
        <v>39</v>
      </c>
      <c r="B42" s="219" t="s">
        <v>258</v>
      </c>
      <c r="C42" s="219"/>
      <c r="D42" s="219"/>
      <c r="E42" s="112" t="s">
        <v>350</v>
      </c>
      <c r="F42" s="112"/>
      <c r="G42" s="112"/>
      <c r="H42" s="112"/>
      <c r="I42" s="112"/>
      <c r="J42" s="112"/>
      <c r="L42" s="90">
        <v>39</v>
      </c>
      <c r="M42" s="213" t="s">
        <v>258</v>
      </c>
      <c r="N42" s="213"/>
      <c r="O42" s="213"/>
      <c r="P42" s="90" t="s">
        <v>350</v>
      </c>
      <c r="Q42" s="90"/>
      <c r="R42" s="90"/>
      <c r="S42" s="52"/>
    </row>
    <row r="43" spans="1:19" ht="40.049999999999997" customHeight="1">
      <c r="A43" s="112">
        <v>40</v>
      </c>
      <c r="B43" s="219" t="s">
        <v>259</v>
      </c>
      <c r="C43" s="219"/>
      <c r="D43" s="219"/>
      <c r="E43" s="112" t="s">
        <v>350</v>
      </c>
      <c r="F43" s="112"/>
      <c r="G43" s="112"/>
      <c r="H43" s="112"/>
      <c r="I43" s="112"/>
      <c r="J43" s="112"/>
      <c r="L43" s="90">
        <v>40</v>
      </c>
      <c r="M43" s="213" t="s">
        <v>259</v>
      </c>
      <c r="N43" s="213"/>
      <c r="O43" s="213"/>
      <c r="P43" s="90" t="s">
        <v>350</v>
      </c>
      <c r="Q43" s="90"/>
      <c r="R43" s="90"/>
      <c r="S43" s="52"/>
    </row>
    <row r="44" spans="1:19" ht="40.049999999999997" customHeight="1">
      <c r="A44" s="112">
        <v>41</v>
      </c>
      <c r="B44" s="219" t="s">
        <v>260</v>
      </c>
      <c r="C44" s="219"/>
      <c r="D44" s="219"/>
      <c r="E44" s="112" t="s">
        <v>350</v>
      </c>
      <c r="F44" s="112"/>
      <c r="G44" s="112"/>
      <c r="H44" s="112"/>
      <c r="I44" s="112"/>
      <c r="J44" s="112"/>
      <c r="L44" s="90">
        <v>41</v>
      </c>
      <c r="M44" s="213" t="s">
        <v>260</v>
      </c>
      <c r="N44" s="213"/>
      <c r="O44" s="213"/>
      <c r="P44" s="90" t="s">
        <v>350</v>
      </c>
      <c r="Q44" s="90"/>
      <c r="R44" s="90"/>
      <c r="S44" s="52"/>
    </row>
    <row r="45" spans="1:19" ht="40.049999999999997" customHeight="1">
      <c r="A45" s="112">
        <v>42</v>
      </c>
      <c r="B45" s="219" t="s">
        <v>261</v>
      </c>
      <c r="C45" s="219"/>
      <c r="D45" s="219"/>
      <c r="E45" s="112" t="s">
        <v>340</v>
      </c>
      <c r="F45" s="112"/>
      <c r="G45" s="112"/>
      <c r="H45" s="112"/>
      <c r="I45" s="112"/>
      <c r="J45" s="112"/>
      <c r="L45" s="90">
        <v>42</v>
      </c>
      <c r="M45" s="213" t="s">
        <v>261</v>
      </c>
      <c r="N45" s="213"/>
      <c r="O45" s="213"/>
      <c r="P45" s="90" t="s">
        <v>385</v>
      </c>
      <c r="Q45" s="90"/>
      <c r="R45" s="90"/>
      <c r="S45" s="52"/>
    </row>
    <row r="46" spans="1:19" ht="40.049999999999997" customHeight="1">
      <c r="A46" s="112">
        <v>43</v>
      </c>
      <c r="B46" s="219" t="s">
        <v>304</v>
      </c>
      <c r="C46" s="219"/>
      <c r="D46" s="219"/>
      <c r="E46" s="112" t="s">
        <v>308</v>
      </c>
      <c r="F46" s="112"/>
      <c r="G46" s="112"/>
      <c r="H46" s="112"/>
      <c r="I46" s="112"/>
      <c r="J46" s="112"/>
      <c r="L46" s="90">
        <v>43</v>
      </c>
      <c r="M46" s="213" t="s">
        <v>304</v>
      </c>
      <c r="N46" s="213"/>
      <c r="O46" s="213"/>
      <c r="P46" s="90" t="s">
        <v>385</v>
      </c>
      <c r="Q46" s="90">
        <v>1</v>
      </c>
      <c r="R46" s="90" t="s">
        <v>411</v>
      </c>
      <c r="S46" s="52"/>
    </row>
    <row r="47" spans="1:19" ht="40.049999999999997" customHeight="1">
      <c r="A47" s="112">
        <v>44</v>
      </c>
      <c r="B47" s="219" t="s">
        <v>263</v>
      </c>
      <c r="C47" s="219"/>
      <c r="D47" s="219"/>
      <c r="E47" s="112" t="s">
        <v>350</v>
      </c>
      <c r="F47" s="112"/>
      <c r="G47" s="112"/>
      <c r="H47" s="112"/>
      <c r="I47" s="112"/>
      <c r="J47" s="112"/>
      <c r="L47" s="90">
        <v>44</v>
      </c>
      <c r="M47" s="213" t="s">
        <v>263</v>
      </c>
      <c r="N47" s="213"/>
      <c r="O47" s="213"/>
      <c r="P47" s="90" t="s">
        <v>350</v>
      </c>
      <c r="Q47" s="90">
        <v>0.5</v>
      </c>
      <c r="R47" s="90"/>
      <c r="S47" s="52"/>
    </row>
    <row r="48" spans="1:19" ht="40.049999999999997" customHeight="1">
      <c r="A48" s="112">
        <v>45</v>
      </c>
      <c r="B48" s="219" t="s">
        <v>264</v>
      </c>
      <c r="C48" s="219"/>
      <c r="D48" s="219"/>
      <c r="E48" s="112" t="s">
        <v>350</v>
      </c>
      <c r="F48" s="112"/>
      <c r="G48" s="112"/>
      <c r="H48" s="112"/>
      <c r="I48" s="112"/>
      <c r="J48" s="112"/>
      <c r="L48" s="90">
        <v>45</v>
      </c>
      <c r="M48" s="213" t="s">
        <v>264</v>
      </c>
      <c r="N48" s="213"/>
      <c r="O48" s="213"/>
      <c r="P48" s="90" t="s">
        <v>350</v>
      </c>
      <c r="Q48" s="90">
        <v>0.5</v>
      </c>
      <c r="R48" s="90"/>
      <c r="S48" s="52"/>
    </row>
    <row r="49" spans="1:19" ht="40.049999999999997" customHeight="1">
      <c r="A49" s="112">
        <v>46</v>
      </c>
      <c r="B49" s="219" t="s">
        <v>265</v>
      </c>
      <c r="C49" s="219"/>
      <c r="D49" s="219"/>
      <c r="E49" s="112" t="s">
        <v>350</v>
      </c>
      <c r="F49" s="112"/>
      <c r="G49" s="112"/>
      <c r="H49" s="112"/>
      <c r="I49" s="112"/>
      <c r="J49" s="112"/>
      <c r="L49" s="90">
        <v>46</v>
      </c>
      <c r="M49" s="213" t="s">
        <v>265</v>
      </c>
      <c r="N49" s="213"/>
      <c r="O49" s="213"/>
      <c r="P49" s="90" t="s">
        <v>350</v>
      </c>
      <c r="Q49" s="90">
        <v>1</v>
      </c>
      <c r="R49" s="90"/>
      <c r="S49" s="52"/>
    </row>
    <row r="50" spans="1:19" ht="40.049999999999997" customHeight="1">
      <c r="A50" s="112">
        <v>47</v>
      </c>
      <c r="B50" s="219" t="s">
        <v>266</v>
      </c>
      <c r="C50" s="219"/>
      <c r="D50" s="219"/>
      <c r="E50" s="112" t="s">
        <v>350</v>
      </c>
      <c r="F50" s="112"/>
      <c r="G50" s="112"/>
      <c r="H50" s="112"/>
      <c r="I50" s="112"/>
      <c r="J50" s="112"/>
      <c r="L50" s="90">
        <v>47</v>
      </c>
      <c r="M50" s="213" t="s">
        <v>266</v>
      </c>
      <c r="N50" s="213"/>
      <c r="O50" s="213"/>
      <c r="P50" s="90" t="s">
        <v>350</v>
      </c>
      <c r="Q50" s="90">
        <v>1</v>
      </c>
      <c r="R50" s="90"/>
      <c r="S50" s="52"/>
    </row>
    <row r="51" spans="1:19" ht="40.049999999999997" customHeight="1">
      <c r="A51" s="112">
        <v>48</v>
      </c>
      <c r="B51" s="219" t="s">
        <v>267</v>
      </c>
      <c r="C51" s="219"/>
      <c r="D51" s="219"/>
      <c r="E51" s="112" t="s">
        <v>308</v>
      </c>
      <c r="F51" s="112"/>
      <c r="G51" s="112"/>
      <c r="H51" s="112"/>
      <c r="I51" s="112"/>
      <c r="J51" s="112"/>
      <c r="L51" s="90">
        <v>48</v>
      </c>
      <c r="M51" s="213" t="s">
        <v>267</v>
      </c>
      <c r="N51" s="213"/>
      <c r="O51" s="213"/>
      <c r="P51" s="90" t="s">
        <v>340</v>
      </c>
      <c r="Q51" s="90">
        <v>1</v>
      </c>
      <c r="R51" s="90"/>
      <c r="S51" s="52"/>
    </row>
    <row r="52" spans="1:19" ht="40.049999999999997" customHeight="1">
      <c r="A52" s="112">
        <v>49</v>
      </c>
      <c r="B52" s="219" t="s">
        <v>336</v>
      </c>
      <c r="C52" s="219"/>
      <c r="D52" s="219"/>
      <c r="E52" s="112" t="s">
        <v>344</v>
      </c>
      <c r="F52" s="112"/>
      <c r="G52" s="112"/>
      <c r="H52" s="112"/>
      <c r="I52" s="112"/>
      <c r="J52" s="112"/>
      <c r="L52" s="90">
        <v>49</v>
      </c>
      <c r="M52" s="213" t="s">
        <v>336</v>
      </c>
      <c r="N52" s="213"/>
      <c r="O52" s="213"/>
      <c r="P52" s="90" t="s">
        <v>344</v>
      </c>
      <c r="Q52" s="90"/>
      <c r="R52" s="90"/>
      <c r="S52" s="52"/>
    </row>
    <row r="53" spans="1:19" ht="40.049999999999997" customHeight="1">
      <c r="A53" s="112">
        <v>50</v>
      </c>
      <c r="B53" s="219" t="s">
        <v>337</v>
      </c>
      <c r="C53" s="219"/>
      <c r="D53" s="219"/>
      <c r="E53" s="112" t="s">
        <v>344</v>
      </c>
      <c r="F53" s="112"/>
      <c r="G53" s="112"/>
      <c r="H53" s="112"/>
      <c r="I53" s="112"/>
      <c r="J53" s="112"/>
      <c r="L53" s="90">
        <v>50</v>
      </c>
      <c r="M53" s="213" t="s">
        <v>337</v>
      </c>
      <c r="N53" s="213"/>
      <c r="O53" s="213"/>
      <c r="P53" s="90" t="s">
        <v>344</v>
      </c>
      <c r="Q53" s="90"/>
      <c r="R53" s="90"/>
      <c r="S53" s="52"/>
    </row>
    <row r="54" spans="1:19" ht="40.049999999999997" customHeight="1">
      <c r="A54" s="112">
        <v>51</v>
      </c>
      <c r="B54" s="219" t="s">
        <v>268</v>
      </c>
      <c r="C54" s="219"/>
      <c r="D54" s="219"/>
      <c r="E54" s="112" t="s">
        <v>351</v>
      </c>
      <c r="F54" s="112"/>
      <c r="G54" s="112"/>
      <c r="H54" s="112"/>
      <c r="I54" s="112"/>
      <c r="J54" s="112"/>
      <c r="L54" s="90">
        <v>51</v>
      </c>
      <c r="M54" s="213" t="s">
        <v>268</v>
      </c>
      <c r="N54" s="213"/>
      <c r="O54" s="213"/>
      <c r="P54" s="90" t="s">
        <v>351</v>
      </c>
      <c r="Q54" s="90"/>
      <c r="R54" s="90"/>
      <c r="S54" s="52"/>
    </row>
    <row r="55" spans="1:19" ht="40.049999999999997" customHeight="1">
      <c r="A55" s="112">
        <v>52</v>
      </c>
      <c r="B55" s="219" t="s">
        <v>269</v>
      </c>
      <c r="C55" s="219"/>
      <c r="D55" s="219"/>
      <c r="E55" s="112" t="s">
        <v>352</v>
      </c>
      <c r="F55" s="112"/>
      <c r="G55" s="112"/>
      <c r="H55" s="112"/>
      <c r="I55" s="112"/>
      <c r="J55" s="112"/>
      <c r="L55" s="90">
        <v>52</v>
      </c>
      <c r="M55" s="213" t="s">
        <v>269</v>
      </c>
      <c r="N55" s="213"/>
      <c r="O55" s="213"/>
      <c r="P55" s="90" t="s">
        <v>352</v>
      </c>
      <c r="Q55" s="90">
        <v>2</v>
      </c>
      <c r="R55" s="90"/>
      <c r="S55" s="52"/>
    </row>
    <row r="56" spans="1:19" ht="40.049999999999997" customHeight="1">
      <c r="A56" s="112">
        <v>53</v>
      </c>
      <c r="B56" s="219" t="s">
        <v>270</v>
      </c>
      <c r="C56" s="219"/>
      <c r="D56" s="219"/>
      <c r="E56" s="112" t="s">
        <v>352</v>
      </c>
      <c r="F56" s="112"/>
      <c r="G56" s="112"/>
      <c r="H56" s="112"/>
      <c r="I56" s="112"/>
      <c r="J56" s="112"/>
      <c r="L56" s="90">
        <v>53</v>
      </c>
      <c r="M56" s="213" t="s">
        <v>270</v>
      </c>
      <c r="N56" s="213"/>
      <c r="O56" s="213"/>
      <c r="P56" s="90" t="s">
        <v>352</v>
      </c>
      <c r="Q56" s="90"/>
      <c r="R56" s="90"/>
      <c r="S56" s="52"/>
    </row>
    <row r="57" spans="1:19" ht="40.049999999999997" customHeight="1">
      <c r="A57" s="112">
        <v>54</v>
      </c>
      <c r="B57" s="219" t="s">
        <v>271</v>
      </c>
      <c r="C57" s="219"/>
      <c r="D57" s="219"/>
      <c r="E57" s="113" t="s">
        <v>340</v>
      </c>
      <c r="F57" s="112"/>
      <c r="G57" s="112"/>
      <c r="H57" s="112"/>
      <c r="I57" s="112"/>
      <c r="J57" s="112"/>
      <c r="L57" s="90">
        <v>54</v>
      </c>
      <c r="M57" s="213" t="s">
        <v>271</v>
      </c>
      <c r="N57" s="213"/>
      <c r="O57" s="213"/>
      <c r="P57" s="147" t="s">
        <v>340</v>
      </c>
      <c r="Q57" s="90">
        <v>2</v>
      </c>
      <c r="R57" s="90"/>
      <c r="S57" s="52"/>
    </row>
    <row r="58" spans="1:19" ht="40.049999999999997" customHeight="1">
      <c r="A58" s="112">
        <v>55</v>
      </c>
      <c r="B58" s="219" t="s">
        <v>272</v>
      </c>
      <c r="C58" s="219"/>
      <c r="D58" s="219"/>
      <c r="E58" s="112" t="s">
        <v>340</v>
      </c>
      <c r="F58" s="112"/>
      <c r="G58" s="112"/>
      <c r="H58" s="112"/>
      <c r="I58" s="112"/>
      <c r="J58" s="112"/>
      <c r="L58" s="90">
        <v>55</v>
      </c>
      <c r="M58" s="213" t="s">
        <v>272</v>
      </c>
      <c r="N58" s="213"/>
      <c r="O58" s="213"/>
      <c r="P58" s="90" t="s">
        <v>340</v>
      </c>
      <c r="Q58" s="90"/>
      <c r="R58" s="90"/>
      <c r="S58" s="52"/>
    </row>
    <row r="59" spans="1:19" ht="40.049999999999997" customHeight="1">
      <c r="A59" s="112">
        <v>56</v>
      </c>
      <c r="B59" s="219" t="s">
        <v>273</v>
      </c>
      <c r="C59" s="219"/>
      <c r="D59" s="219"/>
      <c r="E59" s="112" t="s">
        <v>340</v>
      </c>
      <c r="F59" s="112"/>
      <c r="G59" s="112"/>
      <c r="H59" s="112"/>
      <c r="I59" s="112"/>
      <c r="J59" s="112"/>
      <c r="L59" s="90">
        <v>56</v>
      </c>
      <c r="M59" s="213" t="s">
        <v>273</v>
      </c>
      <c r="N59" s="213"/>
      <c r="O59" s="213"/>
      <c r="P59" s="90" t="s">
        <v>340</v>
      </c>
      <c r="Q59" s="90"/>
      <c r="R59" s="90"/>
      <c r="S59" s="52"/>
    </row>
    <row r="60" spans="1:19" ht="40.049999999999997" customHeight="1">
      <c r="A60" s="112">
        <v>57</v>
      </c>
      <c r="B60" s="219" t="s">
        <v>274</v>
      </c>
      <c r="C60" s="219"/>
      <c r="D60" s="219"/>
      <c r="E60" s="112" t="s">
        <v>340</v>
      </c>
      <c r="F60" s="112"/>
      <c r="G60" s="112"/>
      <c r="H60" s="112"/>
      <c r="I60" s="112"/>
      <c r="J60" s="112"/>
      <c r="L60" s="90">
        <v>57</v>
      </c>
      <c r="M60" s="213" t="s">
        <v>274</v>
      </c>
      <c r="N60" s="213"/>
      <c r="O60" s="213"/>
      <c r="P60" s="90" t="s">
        <v>340</v>
      </c>
      <c r="Q60" s="90"/>
      <c r="R60" s="90"/>
      <c r="S60" s="52"/>
    </row>
    <row r="61" spans="1:19" ht="40.049999999999997" customHeight="1">
      <c r="A61" s="112">
        <v>58</v>
      </c>
      <c r="B61" s="219" t="s">
        <v>275</v>
      </c>
      <c r="C61" s="219"/>
      <c r="D61" s="219"/>
      <c r="E61" s="112" t="s">
        <v>340</v>
      </c>
      <c r="F61" s="112"/>
      <c r="G61" s="112"/>
      <c r="H61" s="112"/>
      <c r="I61" s="112"/>
      <c r="J61" s="112"/>
      <c r="L61" s="90">
        <v>58</v>
      </c>
      <c r="M61" s="213" t="s">
        <v>275</v>
      </c>
      <c r="N61" s="213"/>
      <c r="O61" s="213"/>
      <c r="P61" s="90" t="s">
        <v>340</v>
      </c>
      <c r="Q61" s="90"/>
      <c r="R61" s="90"/>
      <c r="S61" s="52"/>
    </row>
    <row r="62" spans="1:19" ht="40.049999999999997" customHeight="1">
      <c r="A62" s="112">
        <v>59</v>
      </c>
      <c r="B62" s="219" t="s">
        <v>276</v>
      </c>
      <c r="C62" s="219"/>
      <c r="D62" s="219"/>
      <c r="E62" s="112" t="s">
        <v>350</v>
      </c>
      <c r="F62" s="112"/>
      <c r="G62" s="112"/>
      <c r="H62" s="112"/>
      <c r="I62" s="112"/>
      <c r="J62" s="112"/>
      <c r="L62" s="90">
        <v>59</v>
      </c>
      <c r="M62" s="213" t="s">
        <v>276</v>
      </c>
      <c r="N62" s="213"/>
      <c r="O62" s="213"/>
      <c r="P62" s="90" t="s">
        <v>350</v>
      </c>
      <c r="Q62" s="90"/>
      <c r="R62" s="90"/>
      <c r="S62" s="52"/>
    </row>
    <row r="63" spans="1:19" ht="40.049999999999997" customHeight="1">
      <c r="A63" s="112">
        <v>60</v>
      </c>
      <c r="B63" s="219" t="s">
        <v>277</v>
      </c>
      <c r="C63" s="219"/>
      <c r="D63" s="219"/>
      <c r="E63" s="112" t="s">
        <v>350</v>
      </c>
      <c r="F63" s="112"/>
      <c r="G63" s="112"/>
      <c r="H63" s="112"/>
      <c r="I63" s="112"/>
      <c r="J63" s="112"/>
      <c r="L63" s="90">
        <v>60</v>
      </c>
      <c r="M63" s="213" t="s">
        <v>277</v>
      </c>
      <c r="N63" s="213"/>
      <c r="O63" s="213"/>
      <c r="P63" s="90" t="s">
        <v>350</v>
      </c>
      <c r="Q63" s="90">
        <v>0.5</v>
      </c>
      <c r="R63" s="90"/>
      <c r="S63" s="52"/>
    </row>
    <row r="64" spans="1:19" ht="40.049999999999997" customHeight="1">
      <c r="A64" s="112">
        <v>61</v>
      </c>
      <c r="B64" s="219" t="s">
        <v>278</v>
      </c>
      <c r="C64" s="219"/>
      <c r="D64" s="219"/>
      <c r="E64" s="112" t="s">
        <v>340</v>
      </c>
      <c r="F64" s="112"/>
      <c r="G64" s="112"/>
      <c r="H64" s="112"/>
      <c r="I64" s="112"/>
      <c r="J64" s="112"/>
      <c r="L64" s="90">
        <v>61</v>
      </c>
      <c r="M64" s="213" t="s">
        <v>278</v>
      </c>
      <c r="N64" s="213"/>
      <c r="O64" s="213"/>
      <c r="P64" s="90" t="s">
        <v>340</v>
      </c>
      <c r="Q64" s="90"/>
      <c r="R64" s="90"/>
      <c r="S64" s="52"/>
    </row>
    <row r="65" spans="1:19" ht="40.049999999999997" customHeight="1">
      <c r="A65" s="112">
        <v>62</v>
      </c>
      <c r="B65" s="219" t="s">
        <v>279</v>
      </c>
      <c r="C65" s="219"/>
      <c r="D65" s="219"/>
      <c r="E65" s="112" t="s">
        <v>340</v>
      </c>
      <c r="F65" s="112"/>
      <c r="G65" s="112"/>
      <c r="H65" s="112"/>
      <c r="I65" s="112"/>
      <c r="J65" s="112"/>
      <c r="L65" s="90">
        <v>62</v>
      </c>
      <c r="M65" s="213" t="s">
        <v>279</v>
      </c>
      <c r="N65" s="213"/>
      <c r="O65" s="213"/>
      <c r="P65" s="90" t="s">
        <v>340</v>
      </c>
      <c r="Q65" s="90"/>
      <c r="R65" s="90"/>
      <c r="S65" s="52"/>
    </row>
    <row r="66" spans="1:19" ht="40.049999999999997" customHeight="1">
      <c r="A66" s="112">
        <v>63</v>
      </c>
      <c r="B66" s="219" t="s">
        <v>280</v>
      </c>
      <c r="C66" s="219"/>
      <c r="D66" s="219"/>
      <c r="E66" s="112" t="s">
        <v>308</v>
      </c>
      <c r="F66" s="112"/>
      <c r="G66" s="112"/>
      <c r="H66" s="112"/>
      <c r="I66" s="112"/>
      <c r="J66" s="112"/>
      <c r="L66" s="90">
        <v>63</v>
      </c>
      <c r="M66" s="213" t="s">
        <v>280</v>
      </c>
      <c r="N66" s="213"/>
      <c r="O66" s="213"/>
      <c r="P66" s="90" t="s">
        <v>308</v>
      </c>
      <c r="Q66" s="90"/>
      <c r="R66" s="90"/>
      <c r="S66" s="52"/>
    </row>
    <row r="67" spans="1:19" ht="40.049999999999997" customHeight="1">
      <c r="A67" s="112">
        <v>64</v>
      </c>
      <c r="B67" s="219" t="s">
        <v>365</v>
      </c>
      <c r="C67" s="219"/>
      <c r="D67" s="219"/>
      <c r="E67" s="112" t="s">
        <v>335</v>
      </c>
      <c r="F67" s="112"/>
      <c r="G67" s="112"/>
      <c r="H67" s="112"/>
      <c r="I67" s="112"/>
      <c r="J67" s="112"/>
      <c r="L67" s="90">
        <v>64</v>
      </c>
      <c r="M67" s="213" t="s">
        <v>365</v>
      </c>
      <c r="N67" s="213"/>
      <c r="O67" s="213"/>
      <c r="P67" s="90" t="s">
        <v>340</v>
      </c>
      <c r="Q67" s="90">
        <v>3</v>
      </c>
      <c r="R67" s="90"/>
      <c r="S67" s="52"/>
    </row>
    <row r="68" spans="1:19" ht="40.049999999999997" customHeight="1">
      <c r="A68" s="112">
        <v>65</v>
      </c>
      <c r="B68" s="219" t="s">
        <v>281</v>
      </c>
      <c r="C68" s="219"/>
      <c r="D68" s="219"/>
      <c r="E68" s="112" t="s">
        <v>340</v>
      </c>
      <c r="F68" s="112"/>
      <c r="G68" s="112"/>
      <c r="H68" s="112"/>
      <c r="I68" s="112"/>
      <c r="J68" s="112"/>
      <c r="L68" s="90">
        <v>65</v>
      </c>
      <c r="M68" s="213" t="s">
        <v>281</v>
      </c>
      <c r="N68" s="213"/>
      <c r="O68" s="213"/>
      <c r="P68" s="90" t="s">
        <v>340</v>
      </c>
      <c r="Q68" s="90"/>
      <c r="R68" s="90"/>
      <c r="S68" s="52"/>
    </row>
    <row r="69" spans="1:19" ht="40.049999999999997" customHeight="1">
      <c r="A69" s="112">
        <v>66</v>
      </c>
      <c r="B69" s="219" t="s">
        <v>282</v>
      </c>
      <c r="C69" s="219"/>
      <c r="D69" s="219"/>
      <c r="E69" s="112" t="s">
        <v>340</v>
      </c>
      <c r="F69" s="112"/>
      <c r="G69" s="112"/>
      <c r="H69" s="112"/>
      <c r="I69" s="112"/>
      <c r="J69" s="112"/>
      <c r="L69" s="90">
        <v>66</v>
      </c>
      <c r="M69" s="213" t="s">
        <v>282</v>
      </c>
      <c r="N69" s="213"/>
      <c r="O69" s="213"/>
      <c r="P69" s="90" t="s">
        <v>340</v>
      </c>
      <c r="Q69" s="90"/>
      <c r="R69" s="90"/>
      <c r="S69" s="52"/>
    </row>
    <row r="70" spans="1:19" ht="40.049999999999997" customHeight="1">
      <c r="A70" s="112">
        <v>67</v>
      </c>
      <c r="B70" s="216" t="s">
        <v>355</v>
      </c>
      <c r="C70" s="217"/>
      <c r="D70" s="218"/>
      <c r="E70" s="112" t="s">
        <v>340</v>
      </c>
      <c r="F70" s="112"/>
      <c r="G70" s="112"/>
      <c r="H70" s="112"/>
      <c r="I70" s="112"/>
      <c r="J70" s="112"/>
      <c r="L70" s="90">
        <v>67</v>
      </c>
      <c r="M70" s="207" t="s">
        <v>355</v>
      </c>
      <c r="N70" s="208"/>
      <c r="O70" s="209"/>
      <c r="P70" s="90" t="s">
        <v>340</v>
      </c>
      <c r="Q70" s="90"/>
      <c r="R70" s="90"/>
      <c r="S70" s="52"/>
    </row>
    <row r="71" spans="1:19" ht="40.049999999999997" customHeight="1">
      <c r="A71" s="112">
        <v>68</v>
      </c>
      <c r="B71" s="216" t="s">
        <v>356</v>
      </c>
      <c r="C71" s="217"/>
      <c r="D71" s="218"/>
      <c r="E71" s="112" t="s">
        <v>340</v>
      </c>
      <c r="F71" s="112"/>
      <c r="G71" s="112"/>
      <c r="H71" s="112"/>
      <c r="I71" s="112"/>
      <c r="J71" s="112"/>
      <c r="L71" s="90">
        <v>68</v>
      </c>
      <c r="M71" s="207" t="s">
        <v>356</v>
      </c>
      <c r="N71" s="208"/>
      <c r="O71" s="209"/>
      <c r="P71" s="90" t="s">
        <v>340</v>
      </c>
      <c r="Q71" s="90"/>
      <c r="R71" s="90"/>
      <c r="S71" s="52"/>
    </row>
    <row r="72" spans="1:19" ht="40.049999999999997" customHeight="1">
      <c r="A72" s="112">
        <v>69</v>
      </c>
      <c r="B72" s="216" t="s">
        <v>357</v>
      </c>
      <c r="C72" s="217"/>
      <c r="D72" s="218"/>
      <c r="E72" s="112" t="s">
        <v>347</v>
      </c>
      <c r="F72" s="112"/>
      <c r="G72" s="112"/>
      <c r="H72" s="112"/>
      <c r="I72" s="112"/>
      <c r="J72" s="112"/>
      <c r="L72" s="90">
        <v>69</v>
      </c>
      <c r="M72" s="207" t="s">
        <v>357</v>
      </c>
      <c r="N72" s="208"/>
      <c r="O72" s="209"/>
      <c r="P72" s="90" t="s">
        <v>347</v>
      </c>
      <c r="Q72" s="90"/>
      <c r="R72" s="90"/>
      <c r="S72" s="52"/>
    </row>
  </sheetData>
  <mergeCells count="145">
    <mergeCell ref="B12:D12"/>
    <mergeCell ref="B3:D3"/>
    <mergeCell ref="B4:D4"/>
    <mergeCell ref="B5:D5"/>
    <mergeCell ref="B6:D6"/>
    <mergeCell ref="A2:E2"/>
    <mergeCell ref="F2:J2"/>
    <mergeCell ref="B7:D7"/>
    <mergeCell ref="B8:D8"/>
    <mergeCell ref="B9:D9"/>
    <mergeCell ref="B10:D10"/>
    <mergeCell ref="B11:D11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53:D53"/>
    <mergeCell ref="B54:D54"/>
    <mergeCell ref="B55:D55"/>
    <mergeCell ref="B56:D56"/>
    <mergeCell ref="B57:D57"/>
    <mergeCell ref="B58:D58"/>
    <mergeCell ref="B59:D59"/>
    <mergeCell ref="B48:D48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M5:O5"/>
    <mergeCell ref="M6:O6"/>
    <mergeCell ref="M7:O7"/>
    <mergeCell ref="M8:O8"/>
    <mergeCell ref="M9:O9"/>
    <mergeCell ref="M3:O3"/>
    <mergeCell ref="M4:O4"/>
    <mergeCell ref="B72:D72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60:D60"/>
    <mergeCell ref="B49:D49"/>
    <mergeCell ref="B50:D50"/>
    <mergeCell ref="B51:D51"/>
    <mergeCell ref="B52:D52"/>
    <mergeCell ref="M15:O15"/>
    <mergeCell ref="M16:O16"/>
    <mergeCell ref="M17:O17"/>
    <mergeCell ref="M18:O18"/>
    <mergeCell ref="M19:O19"/>
    <mergeCell ref="M10:O10"/>
    <mergeCell ref="M11:O11"/>
    <mergeCell ref="M12:O12"/>
    <mergeCell ref="M13:O13"/>
    <mergeCell ref="M14:O14"/>
    <mergeCell ref="M25:O25"/>
    <mergeCell ref="M26:O26"/>
    <mergeCell ref="M27:O27"/>
    <mergeCell ref="M28:O28"/>
    <mergeCell ref="M29:O29"/>
    <mergeCell ref="M20:O20"/>
    <mergeCell ref="M21:O21"/>
    <mergeCell ref="M22:O22"/>
    <mergeCell ref="M23:O23"/>
    <mergeCell ref="M24:O24"/>
    <mergeCell ref="M35:O35"/>
    <mergeCell ref="M36:O36"/>
    <mergeCell ref="M37:O37"/>
    <mergeCell ref="M38:O38"/>
    <mergeCell ref="M39:O39"/>
    <mergeCell ref="M30:O30"/>
    <mergeCell ref="M31:O31"/>
    <mergeCell ref="M32:O32"/>
    <mergeCell ref="M33:O33"/>
    <mergeCell ref="M34:O34"/>
    <mergeCell ref="M53:O53"/>
    <mergeCell ref="M54:O54"/>
    <mergeCell ref="M45:O45"/>
    <mergeCell ref="M46:O46"/>
    <mergeCell ref="M47:O47"/>
    <mergeCell ref="M48:O48"/>
    <mergeCell ref="M49:O49"/>
    <mergeCell ref="M40:O40"/>
    <mergeCell ref="M41:O41"/>
    <mergeCell ref="M42:O42"/>
    <mergeCell ref="M43:O43"/>
    <mergeCell ref="M44:O44"/>
    <mergeCell ref="A1:J1"/>
    <mergeCell ref="M70:O70"/>
    <mergeCell ref="M71:O71"/>
    <mergeCell ref="M72:O72"/>
    <mergeCell ref="L2:R2"/>
    <mergeCell ref="L1:R1"/>
    <mergeCell ref="M65:O65"/>
    <mergeCell ref="M66:O66"/>
    <mergeCell ref="M67:O67"/>
    <mergeCell ref="M68:O68"/>
    <mergeCell ref="M69:O69"/>
    <mergeCell ref="M60:O60"/>
    <mergeCell ref="M61:O61"/>
    <mergeCell ref="M62:O62"/>
    <mergeCell ref="M63:O63"/>
    <mergeCell ref="M64:O64"/>
    <mergeCell ref="M55:O55"/>
    <mergeCell ref="M56:O56"/>
    <mergeCell ref="M57:O57"/>
    <mergeCell ref="M58:O58"/>
    <mergeCell ref="M59:O59"/>
    <mergeCell ref="M50:O50"/>
    <mergeCell ref="M51:O51"/>
    <mergeCell ref="M52:O52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1" orientation="portrait" blackAndWhite="1" horizontalDpi="360" verticalDpi="360" r:id="rId1"/>
  <rowBreaks count="1" manualBreakCount="1">
    <brk id="35" min="11" max="1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A037-5152-4781-B84A-7A926E1B9DEA}">
  <dimension ref="A1:F99"/>
  <sheetViews>
    <sheetView tabSelected="1" topLeftCell="A18" zoomScaleNormal="100" zoomScaleSheetLayoutView="129" workbookViewId="0">
      <selection activeCell="B36" sqref="B36"/>
    </sheetView>
  </sheetViews>
  <sheetFormatPr defaultRowHeight="14.4"/>
  <cols>
    <col min="1" max="1" width="30.6640625" style="136" customWidth="1"/>
    <col min="2" max="2" width="9.44140625" style="136" customWidth="1"/>
    <col min="3" max="3" width="31.109375" style="136" customWidth="1"/>
    <col min="4" max="4" width="9.77734375" style="136" customWidth="1"/>
    <col min="5" max="5" width="32.109375" style="136" customWidth="1"/>
    <col min="6" max="6" width="10.33203125" style="136" customWidth="1"/>
    <col min="7" max="7" width="30.88671875" style="136" bestFit="1" customWidth="1"/>
    <col min="8" max="8" width="8.88671875" style="136"/>
    <col min="9" max="9" width="31.44140625" style="136" bestFit="1" customWidth="1"/>
    <col min="10" max="10" width="8.88671875" style="136"/>
    <col min="11" max="11" width="31" style="136" bestFit="1" customWidth="1"/>
    <col min="12" max="16384" width="8.88671875" style="136"/>
  </cols>
  <sheetData>
    <row r="1" spans="1:6">
      <c r="A1" s="133" t="s">
        <v>387</v>
      </c>
      <c r="B1" s="133" t="s">
        <v>373</v>
      </c>
      <c r="C1" s="134" t="s">
        <v>387</v>
      </c>
      <c r="D1" s="133" t="s">
        <v>373</v>
      </c>
      <c r="E1" s="135" t="s">
        <v>387</v>
      </c>
      <c r="F1" s="133" t="s">
        <v>373</v>
      </c>
    </row>
    <row r="2" spans="1:6">
      <c r="A2" s="137" t="s">
        <v>34</v>
      </c>
      <c r="B2" s="138"/>
      <c r="C2" s="139" t="s">
        <v>118</v>
      </c>
      <c r="D2" s="140"/>
      <c r="E2" s="145" t="s">
        <v>400</v>
      </c>
      <c r="F2" s="140"/>
    </row>
    <row r="3" spans="1:6">
      <c r="A3" s="130" t="s">
        <v>35</v>
      </c>
      <c r="B3" s="140"/>
      <c r="C3" s="132" t="s">
        <v>119</v>
      </c>
      <c r="D3" s="140"/>
      <c r="E3" s="141" t="s">
        <v>182</v>
      </c>
      <c r="F3" s="140"/>
    </row>
    <row r="4" spans="1:6">
      <c r="A4" s="130" t="s">
        <v>37</v>
      </c>
      <c r="B4" s="140"/>
      <c r="C4" s="131" t="s">
        <v>393</v>
      </c>
      <c r="D4" s="140"/>
      <c r="E4" s="141" t="s">
        <v>183</v>
      </c>
      <c r="F4" s="140"/>
    </row>
    <row r="5" spans="1:6">
      <c r="A5" s="130" t="s">
        <v>40</v>
      </c>
      <c r="B5" s="140"/>
      <c r="C5" s="132" t="s">
        <v>122</v>
      </c>
      <c r="D5" s="140"/>
      <c r="E5" s="146" t="s">
        <v>401</v>
      </c>
      <c r="F5" s="140"/>
    </row>
    <row r="6" spans="1:6">
      <c r="A6" s="130" t="s">
        <v>43</v>
      </c>
      <c r="B6" s="140"/>
      <c r="C6" s="132" t="s">
        <v>124</v>
      </c>
      <c r="D6" s="140"/>
      <c r="E6" s="141" t="s">
        <v>185</v>
      </c>
      <c r="F6" s="140"/>
    </row>
    <row r="7" spans="1:6">
      <c r="A7" s="130" t="s">
        <v>46</v>
      </c>
      <c r="B7" s="140"/>
      <c r="C7" s="132" t="s">
        <v>125</v>
      </c>
      <c r="D7" s="140"/>
      <c r="E7" s="141" t="s">
        <v>186</v>
      </c>
      <c r="F7" s="140"/>
    </row>
    <row r="8" spans="1:6">
      <c r="A8" s="142" t="s">
        <v>56</v>
      </c>
      <c r="B8" s="140"/>
      <c r="C8" s="132" t="s">
        <v>136</v>
      </c>
      <c r="D8" s="140"/>
      <c r="E8" s="141" t="s">
        <v>187</v>
      </c>
      <c r="F8" s="140"/>
    </row>
    <row r="9" spans="1:6">
      <c r="A9" s="142" t="s">
        <v>57</v>
      </c>
      <c r="B9" s="140"/>
      <c r="C9" s="132" t="s">
        <v>137</v>
      </c>
      <c r="D9" s="140"/>
      <c r="E9" s="146" t="s">
        <v>402</v>
      </c>
      <c r="F9" s="140"/>
    </row>
    <row r="10" spans="1:6">
      <c r="A10" s="142" t="s">
        <v>60</v>
      </c>
      <c r="B10" s="140"/>
      <c r="C10" s="131" t="s">
        <v>392</v>
      </c>
      <c r="D10" s="140"/>
      <c r="E10" s="141" t="s">
        <v>190</v>
      </c>
      <c r="F10" s="140"/>
    </row>
    <row r="11" spans="1:6">
      <c r="A11" s="142" t="s">
        <v>61</v>
      </c>
      <c r="B11" s="140"/>
      <c r="C11" s="131" t="s">
        <v>391</v>
      </c>
      <c r="D11" s="140"/>
      <c r="E11" s="141" t="s">
        <v>191</v>
      </c>
      <c r="F11" s="140"/>
    </row>
    <row r="12" spans="1:6">
      <c r="A12" s="132" t="s">
        <v>64</v>
      </c>
      <c r="B12" s="140"/>
      <c r="C12" s="131" t="s">
        <v>390</v>
      </c>
      <c r="D12" s="140"/>
      <c r="E12" s="141" t="s">
        <v>192</v>
      </c>
      <c r="F12" s="140"/>
    </row>
    <row r="13" spans="1:6">
      <c r="A13" s="132" t="s">
        <v>65</v>
      </c>
      <c r="B13" s="140"/>
      <c r="C13" s="131" t="s">
        <v>394</v>
      </c>
      <c r="D13" s="140"/>
      <c r="E13" s="141" t="s">
        <v>193</v>
      </c>
      <c r="F13" s="140"/>
    </row>
    <row r="14" spans="1:6">
      <c r="A14" s="132" t="s">
        <v>66</v>
      </c>
      <c r="B14" s="140"/>
      <c r="C14" s="131" t="s">
        <v>395</v>
      </c>
      <c r="D14" s="140"/>
      <c r="E14" s="141" t="s">
        <v>194</v>
      </c>
      <c r="F14" s="140"/>
    </row>
    <row r="15" spans="1:6">
      <c r="A15" s="132" t="s">
        <v>67</v>
      </c>
      <c r="B15" s="140"/>
      <c r="C15" s="131" t="s">
        <v>396</v>
      </c>
      <c r="D15" s="140"/>
      <c r="E15" s="141" t="s">
        <v>195</v>
      </c>
      <c r="F15" s="140"/>
    </row>
    <row r="16" spans="1:6">
      <c r="A16" s="132" t="s">
        <v>69</v>
      </c>
      <c r="B16" s="140"/>
      <c r="C16" s="132" t="s">
        <v>164</v>
      </c>
      <c r="D16" s="140"/>
      <c r="E16" s="141" t="s">
        <v>196</v>
      </c>
      <c r="F16" s="140"/>
    </row>
    <row r="17" spans="1:6">
      <c r="A17" s="132" t="s">
        <v>70</v>
      </c>
      <c r="B17" s="140"/>
      <c r="C17" s="132" t="s">
        <v>165</v>
      </c>
      <c r="D17" s="140"/>
      <c r="E17" s="141" t="s">
        <v>197</v>
      </c>
      <c r="F17" s="140"/>
    </row>
    <row r="18" spans="1:6">
      <c r="A18" s="132" t="s">
        <v>72</v>
      </c>
      <c r="B18" s="140"/>
      <c r="C18" s="132" t="s">
        <v>166</v>
      </c>
      <c r="D18" s="140"/>
      <c r="E18" s="141" t="s">
        <v>198</v>
      </c>
      <c r="F18" s="140"/>
    </row>
    <row r="19" spans="1:6">
      <c r="A19" s="132" t="s">
        <v>73</v>
      </c>
      <c r="B19" s="140"/>
      <c r="C19" s="132" t="s">
        <v>167</v>
      </c>
      <c r="D19" s="140"/>
      <c r="E19" s="141" t="s">
        <v>199</v>
      </c>
      <c r="F19" s="140"/>
    </row>
    <row r="20" spans="1:6">
      <c r="A20" s="132" t="s">
        <v>79</v>
      </c>
      <c r="B20" s="140"/>
      <c r="C20" s="131" t="s">
        <v>397</v>
      </c>
      <c r="D20" s="140"/>
      <c r="E20" s="146" t="s">
        <v>403</v>
      </c>
      <c r="F20" s="140"/>
    </row>
    <row r="21" spans="1:6">
      <c r="A21" s="132" t="s">
        <v>80</v>
      </c>
      <c r="B21" s="140"/>
      <c r="C21" s="131" t="s">
        <v>398</v>
      </c>
      <c r="D21" s="140"/>
      <c r="E21" s="146" t="s">
        <v>403</v>
      </c>
      <c r="F21" s="140"/>
    </row>
    <row r="22" spans="1:6">
      <c r="A22" s="143" t="s">
        <v>388</v>
      </c>
      <c r="B22" s="140"/>
      <c r="C22" s="131" t="s">
        <v>333</v>
      </c>
      <c r="D22" s="140"/>
      <c r="E22" s="146" t="s">
        <v>404</v>
      </c>
      <c r="F22" s="140"/>
    </row>
    <row r="23" spans="1:6">
      <c r="A23" s="132" t="s">
        <v>81</v>
      </c>
      <c r="B23" s="140"/>
      <c r="C23" s="131" t="s">
        <v>399</v>
      </c>
      <c r="D23" s="140"/>
      <c r="E23" s="146" t="s">
        <v>405</v>
      </c>
      <c r="F23" s="140"/>
    </row>
    <row r="24" spans="1:6">
      <c r="A24" s="143" t="s">
        <v>389</v>
      </c>
      <c r="B24" s="140"/>
      <c r="C24" s="132" t="s">
        <v>173</v>
      </c>
      <c r="D24" s="140"/>
      <c r="E24" s="144" t="s">
        <v>291</v>
      </c>
      <c r="F24" s="140"/>
    </row>
    <row r="25" spans="1:6">
      <c r="A25" s="132" t="s">
        <v>82</v>
      </c>
      <c r="B25" s="140"/>
      <c r="C25" s="132" t="s">
        <v>174</v>
      </c>
      <c r="D25" s="140"/>
      <c r="E25" s="146" t="s">
        <v>334</v>
      </c>
      <c r="F25" s="140"/>
    </row>
    <row r="26" spans="1:6">
      <c r="A26" s="132" t="s">
        <v>89</v>
      </c>
      <c r="B26" s="140"/>
      <c r="C26" s="132" t="s">
        <v>175</v>
      </c>
      <c r="D26" s="140"/>
      <c r="E26" s="146" t="s">
        <v>406</v>
      </c>
      <c r="F26" s="140"/>
    </row>
    <row r="27" spans="1:6">
      <c r="A27" s="132" t="s">
        <v>90</v>
      </c>
      <c r="B27" s="140"/>
      <c r="C27" s="132" t="s">
        <v>176</v>
      </c>
      <c r="D27" s="140"/>
      <c r="E27" s="141" t="s">
        <v>208</v>
      </c>
      <c r="F27" s="140"/>
    </row>
    <row r="28" spans="1:6">
      <c r="A28" s="132" t="s">
        <v>91</v>
      </c>
      <c r="B28" s="140"/>
      <c r="C28" s="132" t="s">
        <v>177</v>
      </c>
      <c r="D28" s="140"/>
      <c r="E28" s="146" t="s">
        <v>407</v>
      </c>
      <c r="F28" s="140"/>
    </row>
    <row r="29" spans="1:6">
      <c r="A29" s="132" t="s">
        <v>112</v>
      </c>
      <c r="B29" s="140"/>
      <c r="C29" s="132" t="s">
        <v>178</v>
      </c>
      <c r="D29" s="140"/>
      <c r="E29" s="141" t="s">
        <v>211</v>
      </c>
      <c r="F29" s="140"/>
    </row>
    <row r="30" spans="1:6">
      <c r="A30" s="132" t="s">
        <v>113</v>
      </c>
      <c r="B30" s="140"/>
      <c r="C30" s="132" t="s">
        <v>179</v>
      </c>
      <c r="D30" s="140"/>
      <c r="E30" s="146" t="s">
        <v>408</v>
      </c>
      <c r="F30" s="140"/>
    </row>
    <row r="31" spans="1:6">
      <c r="A31" s="132" t="s">
        <v>114</v>
      </c>
      <c r="B31" s="140"/>
      <c r="C31" s="132" t="s">
        <v>180</v>
      </c>
      <c r="D31" s="140"/>
      <c r="E31" s="141" t="s">
        <v>213</v>
      </c>
      <c r="F31" s="140"/>
    </row>
    <row r="33" spans="1:6">
      <c r="A33" s="223" t="s">
        <v>387</v>
      </c>
      <c r="B33" s="133" t="s">
        <v>373</v>
      </c>
      <c r="C33" s="223" t="s">
        <v>387</v>
      </c>
      <c r="D33" s="133" t="s">
        <v>373</v>
      </c>
      <c r="E33" s="223" t="s">
        <v>387</v>
      </c>
      <c r="F33" s="133" t="s">
        <v>373</v>
      </c>
    </row>
    <row r="34" spans="1:6">
      <c r="A34" s="224" t="s">
        <v>30</v>
      </c>
      <c r="B34" s="140"/>
      <c r="C34" s="225" t="s">
        <v>70</v>
      </c>
      <c r="D34" s="140"/>
      <c r="E34" s="227" t="s">
        <v>432</v>
      </c>
      <c r="F34" s="140"/>
    </row>
    <row r="35" spans="1:6">
      <c r="A35" s="224" t="s">
        <v>31</v>
      </c>
      <c r="B35" s="140"/>
      <c r="C35" s="225" t="s">
        <v>72</v>
      </c>
      <c r="D35" s="140"/>
      <c r="E35" s="225" t="s">
        <v>104</v>
      </c>
      <c r="F35" s="140"/>
    </row>
    <row r="36" spans="1:6">
      <c r="A36" s="224" t="s">
        <v>34</v>
      </c>
      <c r="B36" s="140"/>
      <c r="C36" s="225" t="s">
        <v>73</v>
      </c>
      <c r="D36" s="140"/>
      <c r="E36" s="225" t="s">
        <v>106</v>
      </c>
      <c r="F36" s="140"/>
    </row>
    <row r="37" spans="1:6">
      <c r="A37" s="224" t="s">
        <v>35</v>
      </c>
      <c r="B37" s="140"/>
      <c r="C37" s="225" t="s">
        <v>74</v>
      </c>
      <c r="D37" s="140"/>
      <c r="E37" s="227" t="s">
        <v>442</v>
      </c>
      <c r="F37" s="140"/>
    </row>
    <row r="38" spans="1:6">
      <c r="A38" s="224" t="s">
        <v>36</v>
      </c>
      <c r="B38" s="140"/>
      <c r="C38" s="225" t="s">
        <v>75</v>
      </c>
      <c r="D38" s="140"/>
      <c r="E38" s="225" t="s">
        <v>108</v>
      </c>
      <c r="F38" s="140"/>
    </row>
    <row r="39" spans="1:6">
      <c r="A39" s="224" t="s">
        <v>37</v>
      </c>
      <c r="B39" s="140"/>
      <c r="C39" s="227" t="s">
        <v>427</v>
      </c>
      <c r="D39" s="140"/>
      <c r="E39" s="225" t="s">
        <v>109</v>
      </c>
      <c r="F39" s="140"/>
    </row>
    <row r="40" spans="1:6">
      <c r="A40" s="224" t="s">
        <v>39</v>
      </c>
      <c r="B40" s="140"/>
      <c r="C40" s="225" t="s">
        <v>78</v>
      </c>
      <c r="D40" s="140"/>
      <c r="E40" s="227" t="s">
        <v>439</v>
      </c>
      <c r="F40" s="140"/>
    </row>
    <row r="41" spans="1:6">
      <c r="A41" s="224" t="s">
        <v>40</v>
      </c>
      <c r="B41" s="140"/>
      <c r="C41" s="225" t="s">
        <v>79</v>
      </c>
      <c r="D41" s="140"/>
      <c r="E41" s="227" t="s">
        <v>440</v>
      </c>
      <c r="F41" s="140"/>
    </row>
    <row r="42" spans="1:6">
      <c r="A42" s="224" t="s">
        <v>41</v>
      </c>
      <c r="B42" s="140"/>
      <c r="C42" s="225" t="s">
        <v>80</v>
      </c>
      <c r="D42" s="140"/>
      <c r="E42" s="227" t="s">
        <v>441</v>
      </c>
      <c r="F42" s="140"/>
    </row>
    <row r="43" spans="1:6">
      <c r="A43" s="225" t="s">
        <v>42</v>
      </c>
      <c r="B43" s="140"/>
      <c r="C43" s="228" t="s">
        <v>412</v>
      </c>
      <c r="D43" s="140"/>
      <c r="E43" s="225" t="s">
        <v>112</v>
      </c>
      <c r="F43" s="140"/>
    </row>
    <row r="44" spans="1:6">
      <c r="A44" s="224" t="s">
        <v>43</v>
      </c>
      <c r="B44" s="140"/>
      <c r="C44" s="227" t="s">
        <v>414</v>
      </c>
      <c r="D44" s="140"/>
      <c r="E44" s="225" t="s">
        <v>113</v>
      </c>
      <c r="F44" s="140"/>
    </row>
    <row r="45" spans="1:6">
      <c r="A45" s="224" t="s">
        <v>44</v>
      </c>
      <c r="B45" s="140"/>
      <c r="C45" s="228" t="s">
        <v>413</v>
      </c>
      <c r="D45" s="140"/>
      <c r="E45" s="225" t="s">
        <v>114</v>
      </c>
      <c r="F45" s="140"/>
    </row>
    <row r="46" spans="1:6">
      <c r="A46" s="225" t="s">
        <v>45</v>
      </c>
      <c r="B46" s="140"/>
      <c r="C46" s="225" t="s">
        <v>82</v>
      </c>
      <c r="D46" s="140"/>
      <c r="E46" s="225" t="s">
        <v>115</v>
      </c>
      <c r="F46" s="140"/>
    </row>
    <row r="47" spans="1:6">
      <c r="A47" s="224" t="s">
        <v>46</v>
      </c>
      <c r="B47" s="140"/>
      <c r="C47" s="227" t="s">
        <v>83</v>
      </c>
      <c r="D47" s="140"/>
      <c r="E47" s="225" t="s">
        <v>116</v>
      </c>
      <c r="F47" s="140"/>
    </row>
    <row r="48" spans="1:6">
      <c r="A48" s="225" t="s">
        <v>47</v>
      </c>
      <c r="B48" s="140"/>
      <c r="C48" s="227" t="s">
        <v>415</v>
      </c>
      <c r="D48" s="140"/>
      <c r="E48" s="225" t="s">
        <v>117</v>
      </c>
      <c r="F48" s="140"/>
    </row>
    <row r="49" spans="1:6">
      <c r="A49" s="225" t="s">
        <v>48</v>
      </c>
      <c r="B49" s="140"/>
      <c r="C49" s="227" t="s">
        <v>416</v>
      </c>
      <c r="D49" s="140"/>
      <c r="E49" s="225" t="s">
        <v>118</v>
      </c>
      <c r="F49" s="140"/>
    </row>
    <row r="50" spans="1:6">
      <c r="A50" s="225" t="s">
        <v>49</v>
      </c>
      <c r="B50" s="140"/>
      <c r="C50" s="227" t="s">
        <v>417</v>
      </c>
      <c r="D50" s="140"/>
      <c r="E50" s="225" t="s">
        <v>119</v>
      </c>
      <c r="F50" s="140"/>
    </row>
    <row r="51" spans="1:6">
      <c r="A51" s="224" t="s">
        <v>51</v>
      </c>
      <c r="B51" s="140"/>
      <c r="C51" s="227" t="s">
        <v>418</v>
      </c>
      <c r="D51" s="140"/>
      <c r="E51" s="227" t="s">
        <v>443</v>
      </c>
      <c r="F51" s="140"/>
    </row>
    <row r="52" spans="1:6">
      <c r="A52" s="224" t="s">
        <v>52</v>
      </c>
      <c r="B52" s="140"/>
      <c r="C52" s="225" t="s">
        <v>89</v>
      </c>
      <c r="D52" s="140"/>
      <c r="E52" s="225" t="s">
        <v>122</v>
      </c>
      <c r="F52" s="140"/>
    </row>
    <row r="53" spans="1:6">
      <c r="A53" s="225" t="s">
        <v>53</v>
      </c>
      <c r="B53" s="140"/>
      <c r="C53" s="225" t="s">
        <v>90</v>
      </c>
      <c r="D53" s="140"/>
      <c r="E53" s="225" t="s">
        <v>123</v>
      </c>
      <c r="F53" s="140"/>
    </row>
    <row r="54" spans="1:6">
      <c r="A54" s="225" t="s">
        <v>54</v>
      </c>
      <c r="B54" s="140"/>
      <c r="C54" s="225" t="s">
        <v>91</v>
      </c>
      <c r="D54" s="140"/>
      <c r="E54" s="225" t="s">
        <v>124</v>
      </c>
      <c r="F54" s="140"/>
    </row>
    <row r="55" spans="1:6">
      <c r="A55" s="226" t="s">
        <v>56</v>
      </c>
      <c r="B55" s="140"/>
      <c r="C55" s="225" t="s">
        <v>92</v>
      </c>
      <c r="D55" s="140"/>
      <c r="E55" s="225" t="s">
        <v>125</v>
      </c>
      <c r="F55" s="140"/>
    </row>
    <row r="56" spans="1:6">
      <c r="A56" s="226" t="s">
        <v>57</v>
      </c>
      <c r="B56" s="140"/>
      <c r="C56" s="227" t="s">
        <v>419</v>
      </c>
      <c r="D56" s="140"/>
      <c r="E56" s="225" t="s">
        <v>126</v>
      </c>
      <c r="F56" s="140"/>
    </row>
    <row r="57" spans="1:6">
      <c r="A57" s="227" t="s">
        <v>420</v>
      </c>
      <c r="B57" s="140"/>
      <c r="C57" s="225" t="s">
        <v>94</v>
      </c>
      <c r="D57" s="140"/>
      <c r="E57" s="225" t="s">
        <v>127</v>
      </c>
      <c r="F57" s="140"/>
    </row>
    <row r="58" spans="1:6">
      <c r="A58" s="226" t="s">
        <v>60</v>
      </c>
      <c r="B58" s="140"/>
      <c r="C58" s="228" t="s">
        <v>428</v>
      </c>
      <c r="D58" s="140"/>
      <c r="E58" s="225" t="s">
        <v>128</v>
      </c>
      <c r="F58" s="140"/>
    </row>
    <row r="59" spans="1:6">
      <c r="A59" s="226" t="s">
        <v>61</v>
      </c>
      <c r="B59" s="140"/>
      <c r="C59" s="225" t="s">
        <v>95</v>
      </c>
      <c r="D59" s="140"/>
      <c r="E59" s="225" t="s">
        <v>129</v>
      </c>
      <c r="F59" s="140"/>
    </row>
    <row r="60" spans="1:6">
      <c r="A60" s="225" t="s">
        <v>63</v>
      </c>
      <c r="B60" s="140"/>
      <c r="C60" s="225" t="s">
        <v>97</v>
      </c>
      <c r="D60" s="140"/>
      <c r="E60" s="225" t="s">
        <v>130</v>
      </c>
      <c r="F60" s="140"/>
    </row>
    <row r="61" spans="1:6">
      <c r="A61" s="225" t="s">
        <v>64</v>
      </c>
      <c r="B61" s="140"/>
      <c r="C61" s="228" t="s">
        <v>429</v>
      </c>
      <c r="D61" s="140"/>
      <c r="E61" s="225" t="s">
        <v>131</v>
      </c>
      <c r="F61" s="140"/>
    </row>
    <row r="62" spans="1:6">
      <c r="A62" s="225" t="s">
        <v>65</v>
      </c>
      <c r="B62" s="140"/>
      <c r="C62" s="228" t="s">
        <v>430</v>
      </c>
      <c r="D62" s="140"/>
      <c r="E62" s="225" t="s">
        <v>132</v>
      </c>
      <c r="F62" s="140"/>
    </row>
    <row r="63" spans="1:6">
      <c r="A63" s="225" t="s">
        <v>66</v>
      </c>
      <c r="B63" s="140"/>
      <c r="C63" s="227" t="s">
        <v>431</v>
      </c>
      <c r="D63" s="140"/>
      <c r="E63" s="225" t="s">
        <v>133</v>
      </c>
      <c r="F63" s="140"/>
    </row>
    <row r="64" spans="1:6">
      <c r="A64" s="225" t="s">
        <v>67</v>
      </c>
      <c r="B64" s="140"/>
      <c r="C64" s="225" t="s">
        <v>100</v>
      </c>
      <c r="D64" s="140"/>
      <c r="E64" s="225" t="s">
        <v>134</v>
      </c>
      <c r="F64" s="140"/>
    </row>
    <row r="65" spans="1:6">
      <c r="A65" s="225" t="s">
        <v>69</v>
      </c>
      <c r="B65" s="140"/>
      <c r="C65" s="225" t="s">
        <v>101</v>
      </c>
      <c r="D65" s="140"/>
      <c r="E65" s="225" t="s">
        <v>135</v>
      </c>
      <c r="F65" s="140"/>
    </row>
    <row r="67" spans="1:6">
      <c r="A67" s="223" t="s">
        <v>387</v>
      </c>
      <c r="B67" s="133" t="s">
        <v>373</v>
      </c>
      <c r="C67" s="223" t="s">
        <v>387</v>
      </c>
      <c r="D67" s="133" t="s">
        <v>373</v>
      </c>
      <c r="E67" s="223" t="s">
        <v>387</v>
      </c>
      <c r="F67" s="133" t="s">
        <v>373</v>
      </c>
    </row>
    <row r="68" spans="1:6">
      <c r="A68" s="225" t="s">
        <v>136</v>
      </c>
      <c r="B68" s="140"/>
      <c r="C68" s="227" t="s">
        <v>437</v>
      </c>
      <c r="D68" s="140"/>
      <c r="E68" s="225" t="s">
        <v>196</v>
      </c>
      <c r="F68" s="140"/>
    </row>
    <row r="69" spans="1:6">
      <c r="A69" s="225" t="s">
        <v>137</v>
      </c>
      <c r="B69" s="140"/>
      <c r="C69" s="225" t="s">
        <v>166</v>
      </c>
      <c r="D69" s="140"/>
      <c r="E69" s="225" t="s">
        <v>197</v>
      </c>
      <c r="F69" s="140"/>
    </row>
    <row r="70" spans="1:6">
      <c r="A70" s="225" t="s">
        <v>138</v>
      </c>
      <c r="B70" s="140"/>
      <c r="C70" s="225" t="s">
        <v>167</v>
      </c>
      <c r="D70" s="140"/>
      <c r="E70" s="225" t="s">
        <v>198</v>
      </c>
      <c r="F70" s="140"/>
    </row>
    <row r="71" spans="1:6">
      <c r="A71" s="225" t="s">
        <v>139</v>
      </c>
      <c r="B71" s="140"/>
      <c r="C71" s="227" t="s">
        <v>376</v>
      </c>
      <c r="D71" s="140"/>
      <c r="E71" s="225" t="s">
        <v>199</v>
      </c>
      <c r="F71" s="140"/>
    </row>
    <row r="72" spans="1:6">
      <c r="A72" s="225" t="s">
        <v>140</v>
      </c>
      <c r="B72" s="140"/>
      <c r="C72" s="227" t="s">
        <v>397</v>
      </c>
      <c r="D72" s="140"/>
      <c r="E72" s="227" t="s">
        <v>403</v>
      </c>
      <c r="F72" s="140"/>
    </row>
    <row r="73" spans="1:6">
      <c r="A73" s="225" t="s">
        <v>141</v>
      </c>
      <c r="B73" s="140"/>
      <c r="C73" s="227" t="s">
        <v>398</v>
      </c>
      <c r="D73" s="140"/>
      <c r="E73" s="227" t="s">
        <v>403</v>
      </c>
      <c r="F73" s="140"/>
    </row>
    <row r="74" spans="1:6">
      <c r="A74" s="225" t="s">
        <v>142</v>
      </c>
      <c r="B74" s="140"/>
      <c r="C74" s="225" t="s">
        <v>170</v>
      </c>
      <c r="D74" s="140"/>
      <c r="E74" s="227" t="s">
        <v>404</v>
      </c>
      <c r="F74" s="140"/>
    </row>
    <row r="75" spans="1:6">
      <c r="A75" s="225" t="s">
        <v>143</v>
      </c>
      <c r="B75" s="140"/>
      <c r="C75" s="227" t="s">
        <v>436</v>
      </c>
      <c r="D75" s="140"/>
      <c r="E75" s="227" t="s">
        <v>433</v>
      </c>
      <c r="F75" s="140"/>
    </row>
    <row r="76" spans="1:6">
      <c r="A76" s="227" t="s">
        <v>444</v>
      </c>
      <c r="B76" s="140"/>
      <c r="C76" s="225" t="s">
        <v>172</v>
      </c>
      <c r="D76" s="140"/>
      <c r="E76" s="228" t="s">
        <v>291</v>
      </c>
      <c r="F76" s="140"/>
    </row>
    <row r="77" spans="1:6">
      <c r="A77" s="227" t="s">
        <v>445</v>
      </c>
      <c r="B77" s="140"/>
      <c r="C77" s="225" t="s">
        <v>173</v>
      </c>
      <c r="D77" s="140"/>
      <c r="E77" s="227" t="s">
        <v>422</v>
      </c>
      <c r="F77" s="140"/>
    </row>
    <row r="78" spans="1:6">
      <c r="A78" s="227" t="s">
        <v>446</v>
      </c>
      <c r="B78" s="140"/>
      <c r="C78" s="225" t="s">
        <v>174</v>
      </c>
      <c r="D78" s="140"/>
      <c r="E78" s="225" t="s">
        <v>204</v>
      </c>
      <c r="F78" s="140"/>
    </row>
    <row r="79" spans="1:6">
      <c r="A79" s="225" t="s">
        <v>147</v>
      </c>
      <c r="B79" s="140"/>
      <c r="C79" s="225" t="s">
        <v>175</v>
      </c>
      <c r="D79" s="140"/>
      <c r="E79" s="227" t="s">
        <v>421</v>
      </c>
      <c r="F79" s="140"/>
    </row>
    <row r="80" spans="1:6">
      <c r="A80" s="225" t="s">
        <v>148</v>
      </c>
      <c r="B80" s="140"/>
      <c r="C80" s="225" t="s">
        <v>176</v>
      </c>
      <c r="D80" s="140"/>
      <c r="E80" s="227" t="s">
        <v>334</v>
      </c>
      <c r="F80" s="140"/>
    </row>
    <row r="81" spans="1:6">
      <c r="A81" s="225" t="s">
        <v>149</v>
      </c>
      <c r="B81" s="140"/>
      <c r="C81" s="225" t="s">
        <v>177</v>
      </c>
      <c r="D81" s="140"/>
      <c r="E81" s="227" t="s">
        <v>423</v>
      </c>
      <c r="F81" s="140"/>
    </row>
    <row r="82" spans="1:6">
      <c r="A82" s="227" t="s">
        <v>447</v>
      </c>
      <c r="B82" s="140"/>
      <c r="C82" s="225" t="s">
        <v>178</v>
      </c>
      <c r="D82" s="140"/>
      <c r="E82" s="227" t="s">
        <v>318</v>
      </c>
      <c r="F82" s="140"/>
    </row>
    <row r="83" spans="1:6">
      <c r="A83" s="227" t="s">
        <v>375</v>
      </c>
      <c r="B83" s="140"/>
      <c r="C83" s="225" t="s">
        <v>179</v>
      </c>
      <c r="D83" s="140"/>
      <c r="E83" s="227" t="s">
        <v>424</v>
      </c>
      <c r="F83" s="140"/>
    </row>
    <row r="84" spans="1:6">
      <c r="A84" s="227" t="s">
        <v>448</v>
      </c>
      <c r="B84" s="140"/>
      <c r="C84" s="225" t="s">
        <v>180</v>
      </c>
      <c r="D84" s="140"/>
      <c r="E84" s="225" t="s">
        <v>208</v>
      </c>
      <c r="F84" s="140"/>
    </row>
    <row r="85" spans="1:6">
      <c r="A85" s="227" t="s">
        <v>449</v>
      </c>
      <c r="B85" s="140"/>
      <c r="C85" s="227" t="s">
        <v>400</v>
      </c>
      <c r="D85" s="140"/>
      <c r="E85" s="227" t="s">
        <v>407</v>
      </c>
      <c r="F85" s="140"/>
    </row>
    <row r="86" spans="1:6">
      <c r="A86" s="227" t="s">
        <v>450</v>
      </c>
      <c r="B86" s="140"/>
      <c r="C86" s="225" t="s">
        <v>182</v>
      </c>
      <c r="D86" s="140"/>
      <c r="E86" s="225" t="s">
        <v>210</v>
      </c>
      <c r="F86" s="140"/>
    </row>
    <row r="87" spans="1:6">
      <c r="A87" s="227" t="s">
        <v>451</v>
      </c>
      <c r="B87" s="140"/>
      <c r="C87" s="225" t="s">
        <v>183</v>
      </c>
      <c r="D87" s="140"/>
      <c r="E87" s="225" t="s">
        <v>211</v>
      </c>
      <c r="F87" s="140"/>
    </row>
    <row r="88" spans="1:6">
      <c r="A88" s="225" t="s">
        <v>155</v>
      </c>
      <c r="B88" s="140"/>
      <c r="C88" s="227" t="s">
        <v>401</v>
      </c>
      <c r="D88" s="140"/>
      <c r="E88" s="225" t="s">
        <v>212</v>
      </c>
      <c r="F88" s="140"/>
    </row>
    <row r="89" spans="1:6">
      <c r="A89" s="227" t="s">
        <v>392</v>
      </c>
      <c r="B89" s="140"/>
      <c r="C89" s="225" t="s">
        <v>185</v>
      </c>
      <c r="D89" s="140"/>
      <c r="E89" s="225" t="s">
        <v>213</v>
      </c>
      <c r="F89" s="140"/>
    </row>
    <row r="90" spans="1:6">
      <c r="A90" s="227" t="s">
        <v>391</v>
      </c>
      <c r="B90" s="140"/>
      <c r="C90" s="225" t="s">
        <v>186</v>
      </c>
      <c r="D90" s="140"/>
      <c r="E90" s="227" t="s">
        <v>425</v>
      </c>
      <c r="F90" s="140"/>
    </row>
    <row r="91" spans="1:6">
      <c r="A91" s="227" t="s">
        <v>390</v>
      </c>
      <c r="B91" s="140"/>
      <c r="C91" s="225" t="s">
        <v>187</v>
      </c>
      <c r="D91" s="140"/>
      <c r="E91" s="227" t="s">
        <v>426</v>
      </c>
      <c r="F91" s="140"/>
    </row>
    <row r="92" spans="1:6">
      <c r="A92" s="227" t="s">
        <v>394</v>
      </c>
      <c r="B92" s="140"/>
      <c r="C92" s="227" t="s">
        <v>435</v>
      </c>
      <c r="D92" s="140"/>
      <c r="E92" s="225" t="s">
        <v>216</v>
      </c>
      <c r="F92" s="140"/>
    </row>
    <row r="93" spans="1:6">
      <c r="A93" s="227" t="s">
        <v>395</v>
      </c>
      <c r="B93" s="140"/>
      <c r="C93" s="227" t="s">
        <v>434</v>
      </c>
      <c r="D93" s="140"/>
      <c r="E93" s="225" t="s">
        <v>217</v>
      </c>
      <c r="F93" s="140"/>
    </row>
    <row r="94" spans="1:6">
      <c r="A94" s="227" t="s">
        <v>452</v>
      </c>
      <c r="B94" s="140"/>
      <c r="C94" s="225" t="s">
        <v>190</v>
      </c>
      <c r="D94" s="140"/>
      <c r="E94" s="225" t="s">
        <v>218</v>
      </c>
      <c r="F94" s="140"/>
    </row>
    <row r="95" spans="1:6">
      <c r="A95" s="225" t="s">
        <v>162</v>
      </c>
      <c r="B95" s="140"/>
      <c r="C95" s="225" t="s">
        <v>191</v>
      </c>
      <c r="D95" s="140"/>
    </row>
    <row r="96" spans="1:6">
      <c r="A96" s="225" t="s">
        <v>163</v>
      </c>
      <c r="B96" s="140"/>
      <c r="C96" s="225" t="s">
        <v>192</v>
      </c>
      <c r="D96" s="140"/>
    </row>
    <row r="97" spans="1:4">
      <c r="A97" s="225" t="s">
        <v>164</v>
      </c>
      <c r="B97" s="140"/>
      <c r="C97" s="225" t="s">
        <v>193</v>
      </c>
      <c r="D97" s="140"/>
    </row>
    <row r="98" spans="1:4">
      <c r="A98" s="225" t="s">
        <v>165</v>
      </c>
      <c r="B98" s="140"/>
      <c r="C98" s="225" t="s">
        <v>194</v>
      </c>
      <c r="D98" s="140"/>
    </row>
    <row r="99" spans="1:4">
      <c r="A99" s="227" t="s">
        <v>438</v>
      </c>
      <c r="B99" s="140"/>
      <c r="C99" s="225" t="s">
        <v>195</v>
      </c>
      <c r="D99" s="140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9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stock gudang utama dan transit</vt:lpstr>
      <vt:lpstr>format usage</vt:lpstr>
      <vt:lpstr>format orderan mingguan</vt:lpstr>
      <vt:lpstr>Sheet1</vt:lpstr>
      <vt:lpstr>'format orderan mingguan'!Print_Area</vt:lpstr>
      <vt:lpstr>'format usage'!Print_Area</vt:lpstr>
      <vt:lpstr>Sheet1!Print_Area</vt:lpstr>
      <vt:lpstr>'stock gudang utama dan transit'!Print_Area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</dc:creator>
  <cp:lastModifiedBy>auli dina</cp:lastModifiedBy>
  <cp:lastPrinted>2026-07-18T02:29:25Z</cp:lastPrinted>
  <dcterms:created xsi:type="dcterms:W3CDTF">2026-04-14T19:30:50Z</dcterms:created>
  <dcterms:modified xsi:type="dcterms:W3CDTF">2026-07-18T02:30:02Z</dcterms:modified>
</cp:coreProperties>
</file>